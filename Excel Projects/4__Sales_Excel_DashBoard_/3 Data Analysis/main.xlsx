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esktop\ExCeL\XL\XL UTube Projects\drive-download-20251220T062110Z-3-001\3 Data Analysis\"/>
    </mc:Choice>
  </mc:AlternateContent>
  <xr:revisionPtr revIDLastSave="0" documentId="13_ncr:1_{F30F2EF2-F24A-4D00-A164-80B48D7F4F28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Descriptive Statics For Old" sheetId="4" r:id="rId1"/>
    <sheet name="Cost Per Unit" sheetId="2" r:id="rId2"/>
    <sheet name="Descriptive Statics For New" sheetId="3" r:id="rId3"/>
    <sheet name="Retail Store Sales" sheetId="1" r:id="rId4"/>
    <sheet name="Sheet1" sheetId="5" r:id="rId5"/>
  </sheets>
  <calcPr calcId="191029"/>
</workbook>
</file>

<file path=xl/calcChain.xml><?xml version="1.0" encoding="utf-8"?>
<calcChain xmlns="http://schemas.openxmlformats.org/spreadsheetml/2006/main">
  <c r="F557" i="1" l="1"/>
  <c r="G557" i="1"/>
  <c r="H557" i="1"/>
  <c r="I557" i="1"/>
  <c r="J557" i="1"/>
  <c r="K557" i="1"/>
  <c r="L25" i="5"/>
  <c r="K25" i="5"/>
  <c r="J25" i="5"/>
  <c r="I25" i="5"/>
  <c r="H25" i="5"/>
  <c r="G25" i="5"/>
  <c r="F25" i="5"/>
  <c r="E25" i="5"/>
  <c r="D25" i="5"/>
  <c r="C25" i="5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L347" i="1" s="1"/>
  <c r="J348" i="1"/>
  <c r="J349" i="1"/>
  <c r="J350" i="1"/>
  <c r="J351" i="1"/>
  <c r="L351" i="1" s="1"/>
  <c r="J352" i="1"/>
  <c r="J353" i="1"/>
  <c r="J354" i="1"/>
  <c r="J355" i="1"/>
  <c r="L355" i="1" s="1"/>
  <c r="J356" i="1"/>
  <c r="J357" i="1"/>
  <c r="J358" i="1"/>
  <c r="J359" i="1"/>
  <c r="L359" i="1" s="1"/>
  <c r="J360" i="1"/>
  <c r="J361" i="1"/>
  <c r="J362" i="1"/>
  <c r="J363" i="1"/>
  <c r="L363" i="1" s="1"/>
  <c r="J364" i="1"/>
  <c r="J365" i="1"/>
  <c r="J366" i="1"/>
  <c r="J367" i="1"/>
  <c r="L367" i="1" s="1"/>
  <c r="J368" i="1"/>
  <c r="J369" i="1"/>
  <c r="J370" i="1"/>
  <c r="J371" i="1"/>
  <c r="L371" i="1" s="1"/>
  <c r="J372" i="1"/>
  <c r="J373" i="1"/>
  <c r="J374" i="1"/>
  <c r="J375" i="1"/>
  <c r="L375" i="1" s="1"/>
  <c r="J376" i="1"/>
  <c r="J377" i="1"/>
  <c r="J378" i="1"/>
  <c r="J379" i="1"/>
  <c r="L379" i="1" s="1"/>
  <c r="J380" i="1"/>
  <c r="J381" i="1"/>
  <c r="J382" i="1"/>
  <c r="J383" i="1"/>
  <c r="L383" i="1" s="1"/>
  <c r="J384" i="1"/>
  <c r="J385" i="1"/>
  <c r="J386" i="1"/>
  <c r="J387" i="1"/>
  <c r="L387" i="1" s="1"/>
  <c r="J388" i="1"/>
  <c r="J389" i="1"/>
  <c r="J390" i="1"/>
  <c r="J391" i="1"/>
  <c r="L391" i="1" s="1"/>
  <c r="J392" i="1"/>
  <c r="J393" i="1"/>
  <c r="J394" i="1"/>
  <c r="J395" i="1"/>
  <c r="L395" i="1" s="1"/>
  <c r="J396" i="1"/>
  <c r="J397" i="1"/>
  <c r="J398" i="1"/>
  <c r="J399" i="1"/>
  <c r="L399" i="1" s="1"/>
  <c r="J400" i="1"/>
  <c r="J401" i="1"/>
  <c r="J402" i="1"/>
  <c r="J403" i="1"/>
  <c r="L403" i="1" s="1"/>
  <c r="J404" i="1"/>
  <c r="J405" i="1"/>
  <c r="J406" i="1"/>
  <c r="J407" i="1"/>
  <c r="L407" i="1" s="1"/>
  <c r="J408" i="1"/>
  <c r="J409" i="1"/>
  <c r="J410" i="1"/>
  <c r="J411" i="1"/>
  <c r="L411" i="1" s="1"/>
  <c r="J412" i="1"/>
  <c r="J413" i="1"/>
  <c r="J414" i="1"/>
  <c r="J415" i="1"/>
  <c r="L415" i="1" s="1"/>
  <c r="J416" i="1"/>
  <c r="J417" i="1"/>
  <c r="J418" i="1"/>
  <c r="J419" i="1"/>
  <c r="L419" i="1" s="1"/>
  <c r="J420" i="1"/>
  <c r="J421" i="1"/>
  <c r="J422" i="1"/>
  <c r="J423" i="1"/>
  <c r="L423" i="1" s="1"/>
  <c r="J424" i="1"/>
  <c r="J425" i="1"/>
  <c r="J426" i="1"/>
  <c r="J427" i="1"/>
  <c r="L427" i="1" s="1"/>
  <c r="J428" i="1"/>
  <c r="J429" i="1"/>
  <c r="J430" i="1"/>
  <c r="J431" i="1"/>
  <c r="L431" i="1" s="1"/>
  <c r="J432" i="1"/>
  <c r="J433" i="1"/>
  <c r="J434" i="1"/>
  <c r="J435" i="1"/>
  <c r="L435" i="1" s="1"/>
  <c r="J436" i="1"/>
  <c r="J437" i="1"/>
  <c r="J438" i="1"/>
  <c r="J439" i="1"/>
  <c r="L439" i="1" s="1"/>
  <c r="J440" i="1"/>
  <c r="J441" i="1"/>
  <c r="J442" i="1"/>
  <c r="J443" i="1"/>
  <c r="L443" i="1" s="1"/>
  <c r="J444" i="1"/>
  <c r="J445" i="1"/>
  <c r="J446" i="1"/>
  <c r="J447" i="1"/>
  <c r="L447" i="1" s="1"/>
  <c r="J448" i="1"/>
  <c r="J449" i="1"/>
  <c r="J450" i="1"/>
  <c r="J451" i="1"/>
  <c r="L451" i="1" s="1"/>
  <c r="J452" i="1"/>
  <c r="J453" i="1"/>
  <c r="J454" i="1"/>
  <c r="J455" i="1"/>
  <c r="L455" i="1" s="1"/>
  <c r="J456" i="1"/>
  <c r="J457" i="1"/>
  <c r="J458" i="1"/>
  <c r="J459" i="1"/>
  <c r="L459" i="1" s="1"/>
  <c r="J460" i="1"/>
  <c r="J461" i="1"/>
  <c r="J462" i="1"/>
  <c r="J463" i="1"/>
  <c r="L463" i="1" s="1"/>
  <c r="J464" i="1"/>
  <c r="J465" i="1"/>
  <c r="J466" i="1"/>
  <c r="J467" i="1"/>
  <c r="L467" i="1" s="1"/>
  <c r="J468" i="1"/>
  <c r="J469" i="1"/>
  <c r="J470" i="1"/>
  <c r="J471" i="1"/>
  <c r="L471" i="1" s="1"/>
  <c r="J472" i="1"/>
  <c r="J473" i="1"/>
  <c r="J474" i="1"/>
  <c r="J475" i="1"/>
  <c r="L475" i="1" s="1"/>
  <c r="J476" i="1"/>
  <c r="J477" i="1"/>
  <c r="J478" i="1"/>
  <c r="J479" i="1"/>
  <c r="L479" i="1" s="1"/>
  <c r="J480" i="1"/>
  <c r="J481" i="1"/>
  <c r="J482" i="1"/>
  <c r="J483" i="1"/>
  <c r="L483" i="1" s="1"/>
  <c r="J484" i="1"/>
  <c r="J485" i="1"/>
  <c r="J486" i="1"/>
  <c r="J487" i="1"/>
  <c r="L487" i="1" s="1"/>
  <c r="J488" i="1"/>
  <c r="J489" i="1"/>
  <c r="J490" i="1"/>
  <c r="J491" i="1"/>
  <c r="L491" i="1" s="1"/>
  <c r="J492" i="1"/>
  <c r="J493" i="1"/>
  <c r="J494" i="1"/>
  <c r="J495" i="1"/>
  <c r="L495" i="1" s="1"/>
  <c r="J496" i="1"/>
  <c r="J497" i="1"/>
  <c r="J498" i="1"/>
  <c r="J499" i="1"/>
  <c r="L499" i="1" s="1"/>
  <c r="J500" i="1"/>
  <c r="J501" i="1"/>
  <c r="J502" i="1"/>
  <c r="J503" i="1"/>
  <c r="L503" i="1" s="1"/>
  <c r="J504" i="1"/>
  <c r="J505" i="1"/>
  <c r="J506" i="1"/>
  <c r="J507" i="1"/>
  <c r="L507" i="1" s="1"/>
  <c r="J508" i="1"/>
  <c r="J509" i="1"/>
  <c r="J510" i="1"/>
  <c r="J511" i="1"/>
  <c r="L511" i="1" s="1"/>
  <c r="J512" i="1"/>
  <c r="J513" i="1"/>
  <c r="J514" i="1"/>
  <c r="J515" i="1"/>
  <c r="L515" i="1" s="1"/>
  <c r="J516" i="1"/>
  <c r="J517" i="1"/>
  <c r="J518" i="1"/>
  <c r="J519" i="1"/>
  <c r="L519" i="1" s="1"/>
  <c r="J520" i="1"/>
  <c r="J521" i="1"/>
  <c r="J522" i="1"/>
  <c r="J523" i="1"/>
  <c r="L523" i="1" s="1"/>
  <c r="J524" i="1"/>
  <c r="J525" i="1"/>
  <c r="J526" i="1"/>
  <c r="J527" i="1"/>
  <c r="L527" i="1" s="1"/>
  <c r="J528" i="1"/>
  <c r="J529" i="1"/>
  <c r="J530" i="1"/>
  <c r="J531" i="1"/>
  <c r="L531" i="1" s="1"/>
  <c r="J532" i="1"/>
  <c r="J533" i="1"/>
  <c r="J534" i="1"/>
  <c r="J535" i="1"/>
  <c r="L535" i="1" s="1"/>
  <c r="J536" i="1"/>
  <c r="J537" i="1"/>
  <c r="J538" i="1"/>
  <c r="J539" i="1"/>
  <c r="L539" i="1" s="1"/>
  <c r="J540" i="1"/>
  <c r="J541" i="1"/>
  <c r="J542" i="1"/>
  <c r="J543" i="1"/>
  <c r="L543" i="1" s="1"/>
  <c r="J544" i="1"/>
  <c r="J545" i="1"/>
  <c r="J546" i="1"/>
  <c r="J547" i="1"/>
  <c r="L547" i="1" s="1"/>
  <c r="J548" i="1"/>
  <c r="J549" i="1"/>
  <c r="J550" i="1"/>
  <c r="J551" i="1"/>
  <c r="L551" i="1" s="1"/>
  <c r="J552" i="1"/>
  <c r="J553" i="1"/>
  <c r="J554" i="1"/>
  <c r="J555" i="1"/>
  <c r="L555" i="1" s="1"/>
  <c r="J55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L557" i="1" l="1"/>
  <c r="L343" i="1"/>
  <c r="L556" i="1"/>
  <c r="L552" i="1"/>
  <c r="L548" i="1"/>
  <c r="L544" i="1"/>
  <c r="L540" i="1"/>
  <c r="L536" i="1"/>
  <c r="L532" i="1"/>
  <c r="L528" i="1"/>
  <c r="L524" i="1"/>
  <c r="L520" i="1"/>
  <c r="L516" i="1"/>
  <c r="L512" i="1"/>
  <c r="L508" i="1"/>
  <c r="L504" i="1"/>
  <c r="L500" i="1"/>
  <c r="L496" i="1"/>
  <c r="L492" i="1"/>
  <c r="L488" i="1"/>
  <c r="L484" i="1"/>
  <c r="L480" i="1"/>
  <c r="L476" i="1"/>
  <c r="L472" i="1"/>
  <c r="L468" i="1"/>
  <c r="L464" i="1"/>
  <c r="L460" i="1"/>
  <c r="L456" i="1"/>
  <c r="L452" i="1"/>
  <c r="L448" i="1"/>
  <c r="L444" i="1"/>
  <c r="L440" i="1"/>
  <c r="L436" i="1"/>
  <c r="L432" i="1"/>
  <c r="L428" i="1"/>
  <c r="L424" i="1"/>
  <c r="L420" i="1"/>
  <c r="L416" i="1"/>
  <c r="L412" i="1"/>
  <c r="L408" i="1"/>
  <c r="L404" i="1"/>
  <c r="L400" i="1"/>
  <c r="L396" i="1"/>
  <c r="L392" i="1"/>
  <c r="L388" i="1"/>
  <c r="L384" i="1"/>
  <c r="L380" i="1"/>
  <c r="L376" i="1"/>
  <c r="L372" i="1"/>
  <c r="L368" i="1"/>
  <c r="L364" i="1"/>
  <c r="L360" i="1"/>
  <c r="L356" i="1"/>
  <c r="L352" i="1"/>
  <c r="L348" i="1"/>
  <c r="L344" i="1"/>
  <c r="L549" i="1"/>
  <c r="L541" i="1"/>
  <c r="L533" i="1"/>
  <c r="L525" i="1"/>
  <c r="L517" i="1"/>
  <c r="L509" i="1"/>
  <c r="L501" i="1"/>
  <c r="L493" i="1"/>
  <c r="L485" i="1"/>
  <c r="L477" i="1"/>
  <c r="L465" i="1"/>
  <c r="L457" i="1"/>
  <c r="L449" i="1"/>
  <c r="L441" i="1"/>
  <c r="L433" i="1"/>
  <c r="L421" i="1"/>
  <c r="L413" i="1"/>
  <c r="L405" i="1"/>
  <c r="L397" i="1"/>
  <c r="L389" i="1"/>
  <c r="L381" i="1"/>
  <c r="L373" i="1"/>
  <c r="L361" i="1"/>
  <c r="L353" i="1"/>
  <c r="L345" i="1"/>
  <c r="L553" i="1"/>
  <c r="L545" i="1"/>
  <c r="L537" i="1"/>
  <c r="L529" i="1"/>
  <c r="L521" i="1"/>
  <c r="L513" i="1"/>
  <c r="L505" i="1"/>
  <c r="L497" i="1"/>
  <c r="L489" i="1"/>
  <c r="L481" i="1"/>
  <c r="L473" i="1"/>
  <c r="L469" i="1"/>
  <c r="L461" i="1"/>
  <c r="L453" i="1"/>
  <c r="L445" i="1"/>
  <c r="L437" i="1"/>
  <c r="L429" i="1"/>
  <c r="L425" i="1"/>
  <c r="L417" i="1"/>
  <c r="L409" i="1"/>
  <c r="L401" i="1"/>
  <c r="L393" i="1"/>
  <c r="L385" i="1"/>
  <c r="L377" i="1"/>
  <c r="L369" i="1"/>
  <c r="L365" i="1"/>
  <c r="L357" i="1"/>
  <c r="L349" i="1"/>
  <c r="L554" i="1"/>
  <c r="L550" i="1"/>
  <c r="L546" i="1"/>
  <c r="L542" i="1"/>
  <c r="L538" i="1"/>
  <c r="L534" i="1"/>
  <c r="L530" i="1"/>
  <c r="L526" i="1"/>
  <c r="L522" i="1"/>
  <c r="L518" i="1"/>
  <c r="L514" i="1"/>
  <c r="L510" i="1"/>
  <c r="L506" i="1"/>
  <c r="L502" i="1"/>
  <c r="L498" i="1"/>
  <c r="L494" i="1"/>
  <c r="L490" i="1"/>
  <c r="L486" i="1"/>
  <c r="L482" i="1"/>
  <c r="L478" i="1"/>
  <c r="L474" i="1"/>
  <c r="L470" i="1"/>
  <c r="L466" i="1"/>
  <c r="L462" i="1"/>
  <c r="L458" i="1"/>
  <c r="L454" i="1"/>
  <c r="L450" i="1"/>
  <c r="L446" i="1"/>
  <c r="L442" i="1"/>
  <c r="L438" i="1"/>
  <c r="L434" i="1"/>
  <c r="L430" i="1"/>
  <c r="L426" i="1"/>
  <c r="L422" i="1"/>
  <c r="L418" i="1"/>
  <c r="L414" i="1"/>
  <c r="L410" i="1"/>
  <c r="L406" i="1"/>
  <c r="L402" i="1"/>
  <c r="L398" i="1"/>
  <c r="L394" i="1"/>
  <c r="L390" i="1"/>
  <c r="L386" i="1"/>
  <c r="L382" i="1"/>
  <c r="L378" i="1"/>
  <c r="L374" i="1"/>
  <c r="L370" i="1"/>
  <c r="L366" i="1"/>
  <c r="L362" i="1"/>
  <c r="L358" i="1"/>
  <c r="L354" i="1"/>
  <c r="L350" i="1"/>
  <c r="L346" i="1"/>
  <c r="L342" i="1"/>
  <c r="L338" i="1"/>
  <c r="L334" i="1"/>
  <c r="L330" i="1"/>
  <c r="L326" i="1"/>
  <c r="L322" i="1"/>
  <c r="L318" i="1"/>
  <c r="L314" i="1"/>
  <c r="L310" i="1"/>
  <c r="L306" i="1"/>
  <c r="L302" i="1"/>
  <c r="L298" i="1"/>
  <c r="L294" i="1"/>
  <c r="L290" i="1"/>
  <c r="L286" i="1"/>
  <c r="L282" i="1"/>
  <c r="L278" i="1"/>
  <c r="L274" i="1"/>
  <c r="L270" i="1"/>
  <c r="L266" i="1"/>
  <c r="L262" i="1"/>
  <c r="L258" i="1"/>
  <c r="L254" i="1"/>
  <c r="L250" i="1"/>
  <c r="L246" i="1"/>
  <c r="L242" i="1"/>
  <c r="L238" i="1"/>
  <c r="L234" i="1"/>
  <c r="L230" i="1"/>
  <c r="L226" i="1"/>
  <c r="L222" i="1"/>
  <c r="L218" i="1"/>
  <c r="L214" i="1"/>
  <c r="L210" i="1"/>
  <c r="L206" i="1"/>
  <c r="L202" i="1"/>
  <c r="L198" i="1"/>
  <c r="L194" i="1"/>
  <c r="L190" i="1"/>
  <c r="L186" i="1"/>
  <c r="L182" i="1"/>
  <c r="L178" i="1"/>
  <c r="L174" i="1"/>
  <c r="L170" i="1"/>
  <c r="L166" i="1"/>
  <c r="L162" i="1"/>
  <c r="L158" i="1"/>
  <c r="L154" i="1"/>
  <c r="L150" i="1"/>
  <c r="L146" i="1"/>
  <c r="L142" i="1"/>
  <c r="L138" i="1"/>
  <c r="L134" i="1"/>
  <c r="L130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0" i="1"/>
  <c r="L6" i="1"/>
  <c r="L2" i="1"/>
  <c r="L341" i="1"/>
  <c r="L337" i="1"/>
  <c r="L333" i="1"/>
  <c r="L329" i="1"/>
  <c r="L325" i="1"/>
  <c r="L321" i="1"/>
  <c r="L317" i="1"/>
  <c r="L313" i="1"/>
  <c r="L309" i="1"/>
  <c r="L305" i="1"/>
  <c r="L301" i="1"/>
  <c r="L297" i="1"/>
  <c r="L293" i="1"/>
  <c r="L289" i="1"/>
  <c r="L285" i="1"/>
  <c r="L281" i="1"/>
  <c r="L277" i="1"/>
  <c r="L273" i="1"/>
  <c r="L269" i="1"/>
  <c r="L265" i="1"/>
  <c r="L261" i="1"/>
  <c r="L257" i="1"/>
  <c r="L253" i="1"/>
  <c r="L249" i="1"/>
  <c r="L245" i="1"/>
  <c r="L241" i="1"/>
  <c r="L237" i="1"/>
  <c r="L233" i="1"/>
  <c r="L229" i="1"/>
  <c r="L225" i="1"/>
  <c r="L221" i="1"/>
  <c r="L217" i="1"/>
  <c r="L213" i="1"/>
  <c r="L209" i="1"/>
  <c r="L205" i="1"/>
  <c r="L201" i="1"/>
  <c r="L197" i="1"/>
  <c r="L193" i="1"/>
  <c r="L189" i="1"/>
  <c r="L185" i="1"/>
  <c r="L181" i="1"/>
  <c r="L177" i="1"/>
  <c r="L173" i="1"/>
  <c r="L169" i="1"/>
  <c r="L165" i="1"/>
  <c r="L161" i="1"/>
  <c r="L157" i="1"/>
  <c r="L153" i="1"/>
  <c r="L149" i="1"/>
  <c r="L145" i="1"/>
  <c r="L141" i="1"/>
  <c r="L137" i="1"/>
  <c r="L133" i="1"/>
  <c r="L129" i="1"/>
  <c r="L125" i="1"/>
  <c r="L121" i="1"/>
  <c r="L117" i="1"/>
  <c r="L113" i="1"/>
  <c r="L109" i="1"/>
  <c r="L105" i="1"/>
  <c r="L101" i="1"/>
  <c r="L97" i="1"/>
  <c r="L93" i="1"/>
  <c r="L89" i="1"/>
  <c r="L85" i="1"/>
  <c r="L81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1" i="1"/>
  <c r="L17" i="1"/>
  <c r="L13" i="1"/>
  <c r="L9" i="1"/>
  <c r="L5" i="1"/>
  <c r="L340" i="1"/>
  <c r="L336" i="1"/>
  <c r="L332" i="1"/>
  <c r="L328" i="1"/>
  <c r="L324" i="1"/>
  <c r="L320" i="1"/>
  <c r="L316" i="1"/>
  <c r="L312" i="1"/>
  <c r="L308" i="1"/>
  <c r="L304" i="1"/>
  <c r="L300" i="1"/>
  <c r="L296" i="1"/>
  <c r="L292" i="1"/>
  <c r="L288" i="1"/>
  <c r="L284" i="1"/>
  <c r="L280" i="1"/>
  <c r="L276" i="1"/>
  <c r="L272" i="1"/>
  <c r="L268" i="1"/>
  <c r="L264" i="1"/>
  <c r="L260" i="1"/>
  <c r="L256" i="1"/>
  <c r="L252" i="1"/>
  <c r="L248" i="1"/>
  <c r="L244" i="1"/>
  <c r="L240" i="1"/>
  <c r="L236" i="1"/>
  <c r="L232" i="1"/>
  <c r="L228" i="1"/>
  <c r="L224" i="1"/>
  <c r="L220" i="1"/>
  <c r="L216" i="1"/>
  <c r="L212" i="1"/>
  <c r="L208" i="1"/>
  <c r="L204" i="1"/>
  <c r="L200" i="1"/>
  <c r="L196" i="1"/>
  <c r="L192" i="1"/>
  <c r="L188" i="1"/>
  <c r="L184" i="1"/>
  <c r="L180" i="1"/>
  <c r="L176" i="1"/>
  <c r="L172" i="1"/>
  <c r="L168" i="1"/>
  <c r="L164" i="1"/>
  <c r="L160" i="1"/>
  <c r="L156" i="1"/>
  <c r="L152" i="1"/>
  <c r="L148" i="1"/>
  <c r="L144" i="1"/>
  <c r="L140" i="1"/>
  <c r="L136" i="1"/>
  <c r="L132" i="1"/>
  <c r="L128" i="1"/>
  <c r="L124" i="1"/>
  <c r="L120" i="1"/>
  <c r="L116" i="1"/>
  <c r="L112" i="1"/>
  <c r="L108" i="1"/>
  <c r="L104" i="1"/>
  <c r="L100" i="1"/>
  <c r="L96" i="1"/>
  <c r="L92" i="1"/>
  <c r="L88" i="1"/>
  <c r="L84" i="1"/>
  <c r="L80" i="1"/>
  <c r="L76" i="1"/>
  <c r="L72" i="1"/>
  <c r="L68" i="1"/>
  <c r="L64" i="1"/>
  <c r="L60" i="1"/>
  <c r="L56" i="1"/>
  <c r="L52" i="1"/>
  <c r="L48" i="1"/>
  <c r="L44" i="1"/>
  <c r="L40" i="1"/>
  <c r="L36" i="1"/>
  <c r="L32" i="1"/>
  <c r="L28" i="1"/>
  <c r="L24" i="1"/>
  <c r="L20" i="1"/>
  <c r="L16" i="1"/>
  <c r="L12" i="1"/>
  <c r="L8" i="1"/>
  <c r="L4" i="1"/>
  <c r="L339" i="1"/>
  <c r="L335" i="1"/>
  <c r="L331" i="1"/>
  <c r="L327" i="1"/>
  <c r="L323" i="1"/>
  <c r="L319" i="1"/>
  <c r="L315" i="1"/>
  <c r="L311" i="1"/>
  <c r="L307" i="1"/>
  <c r="L303" i="1"/>
  <c r="L299" i="1"/>
  <c r="L295" i="1"/>
  <c r="L291" i="1"/>
  <c r="L287" i="1"/>
  <c r="L283" i="1"/>
  <c r="L279" i="1"/>
  <c r="L275" i="1"/>
  <c r="L271" i="1"/>
  <c r="L267" i="1"/>
  <c r="L263" i="1"/>
  <c r="L259" i="1"/>
  <c r="L255" i="1"/>
  <c r="L251" i="1"/>
  <c r="L247" i="1"/>
  <c r="L243" i="1"/>
  <c r="L239" i="1"/>
  <c r="L235" i="1"/>
  <c r="L231" i="1"/>
  <c r="L227" i="1"/>
  <c r="L223" i="1"/>
  <c r="L219" i="1"/>
  <c r="L215" i="1"/>
  <c r="L211" i="1"/>
  <c r="L207" i="1"/>
  <c r="L203" i="1"/>
  <c r="L199" i="1"/>
  <c r="L195" i="1"/>
  <c r="L191" i="1"/>
  <c r="L187" i="1"/>
  <c r="L183" i="1"/>
  <c r="L179" i="1"/>
  <c r="L175" i="1"/>
  <c r="L171" i="1"/>
  <c r="L167" i="1"/>
  <c r="L163" i="1"/>
  <c r="L159" i="1"/>
  <c r="L155" i="1"/>
  <c r="L151" i="1"/>
  <c r="L147" i="1"/>
  <c r="L143" i="1"/>
  <c r="L139" i="1"/>
  <c r="L135" i="1"/>
  <c r="L131" i="1"/>
  <c r="L127" i="1"/>
  <c r="L123" i="1"/>
  <c r="L119" i="1"/>
  <c r="L115" i="1"/>
  <c r="L111" i="1"/>
  <c r="L107" i="1"/>
  <c r="L103" i="1"/>
  <c r="L99" i="1"/>
  <c r="L95" i="1"/>
  <c r="L91" i="1"/>
  <c r="L87" i="1"/>
  <c r="L83" i="1"/>
  <c r="L79" i="1"/>
  <c r="L75" i="1"/>
  <c r="L71" i="1"/>
  <c r="L67" i="1"/>
  <c r="L63" i="1"/>
  <c r="L59" i="1"/>
  <c r="L55" i="1"/>
  <c r="L51" i="1"/>
  <c r="L47" i="1"/>
  <c r="L43" i="1"/>
  <c r="L39" i="1"/>
  <c r="L35" i="1"/>
  <c r="L31" i="1"/>
  <c r="L27" i="1"/>
  <c r="L23" i="1"/>
  <c r="L19" i="1"/>
  <c r="L15" i="1"/>
  <c r="L11" i="1"/>
  <c r="L7" i="1"/>
  <c r="L3" i="1"/>
</calcChain>
</file>

<file path=xl/sharedStrings.xml><?xml version="1.0" encoding="utf-8"?>
<sst xmlns="http://schemas.openxmlformats.org/spreadsheetml/2006/main" count="1883" uniqueCount="106">
  <si>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</si>
  <si>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</si>
  <si>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</si>
  <si>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</si>
  <si>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</si>
  <si>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</si>
  <si>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</si>
  <si>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</si>
  <si>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</si>
  <si>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Smartphone</t>
  </si>
  <si>
    <t>Completed</t>
  </si>
  <si>
    <t>Australia</t>
  </si>
  <si>
    <t>Mobile Money</t>
  </si>
  <si>
    <t>Fiction</t>
  </si>
  <si>
    <t>Credit Card</t>
  </si>
  <si>
    <t>Sneakers</t>
  </si>
  <si>
    <t>United Kingdom</t>
  </si>
  <si>
    <t>Groceries</t>
  </si>
  <si>
    <t>Cereal</t>
  </si>
  <si>
    <t>Headphones</t>
  </si>
  <si>
    <t>Returned</t>
  </si>
  <si>
    <t>China</t>
  </si>
  <si>
    <t>Cash</t>
  </si>
  <si>
    <t>Vase</t>
  </si>
  <si>
    <t>Nigeria</t>
  </si>
  <si>
    <t>Camera</t>
  </si>
  <si>
    <t>Milk</t>
  </si>
  <si>
    <t>T-Shirt</t>
  </si>
  <si>
    <t>Curtains</t>
  </si>
  <si>
    <t>Children's Book</t>
  </si>
  <si>
    <t>Bank Transfer</t>
  </si>
  <si>
    <t>United States</t>
  </si>
  <si>
    <t>Wall Art</t>
  </si>
  <si>
    <t>Dress</t>
  </si>
  <si>
    <t>Jeans</t>
  </si>
  <si>
    <t>Biography</t>
  </si>
  <si>
    <t>Laptop</t>
  </si>
  <si>
    <t>Cookbook</t>
  </si>
  <si>
    <t>Non-Fiction</t>
  </si>
  <si>
    <t>Juice</t>
  </si>
  <si>
    <t>Table Lamp</t>
  </si>
  <si>
    <t>Cushion</t>
  </si>
  <si>
    <t>Jacket</t>
  </si>
  <si>
    <t>Tablet</t>
  </si>
  <si>
    <t>Pasta</t>
  </si>
  <si>
    <t>Rice</t>
  </si>
  <si>
    <t>Brazil</t>
  </si>
  <si>
    <t>Antarctica</t>
  </si>
  <si>
    <t>Cost Percentage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</si>
  <si>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</si>
  <si>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</si>
  <si>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</si>
  <si>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</si>
  <si>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</si>
  <si>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</si>
  <si>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</si>
  <si>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</si>
  <si>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</si>
  <si>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</si>
  <si>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</si>
  <si>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</si>
  <si>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</si>
  <si>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Year</t>
  </si>
  <si>
    <t>Month</t>
  </si>
  <si>
    <t>Date</t>
  </si>
  <si>
    <t>Delivery Time</t>
  </si>
  <si>
    <t>Total Cost After Product Percentage Calc</t>
  </si>
  <si>
    <t>Net Profit</t>
  </si>
  <si>
    <t>Sales Revenue</t>
  </si>
  <si>
    <t>Descriptive Statics</t>
  </si>
  <si>
    <t>T Test</t>
  </si>
  <si>
    <t>Scenerio</t>
  </si>
  <si>
    <t>Relation Between Delivery Time and Status (Completed || Returned)</t>
  </si>
  <si>
    <t>Null Hypothesis Ho</t>
  </si>
  <si>
    <t>Delivery Time Does not influencec whether order is returned</t>
  </si>
  <si>
    <t>Alternate Hypothesis H1</t>
  </si>
  <si>
    <t xml:space="preserve">Order With Longer delivery time are more likely to return </t>
  </si>
  <si>
    <t>Completed Delivery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</si>
  <si>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</si>
  <si>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</si>
  <si>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</si>
  <si>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</si>
  <si>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</si>
  <si>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</si>
  <si>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</si>
  <si>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</si>
  <si>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</si>
  <si>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</si>
  <si>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Take Two Tail</t>
  </si>
  <si>
    <t>Here P Val is 0.00000009 , alpha is greater</t>
  </si>
  <si>
    <t>2=&gt; There is a Statiscal Significant Relation Between Delvery time and Order Status</t>
  </si>
  <si>
    <t>1=)  P small = Reject Null hypothesis</t>
  </si>
  <si>
    <t>Interpretation / Insights</t>
  </si>
  <si>
    <t>In</t>
  </si>
  <si>
    <t>Insights In Buisness Terms</t>
  </si>
  <si>
    <t xml:space="preserve">1=&gt; Order That End Up Being Returned Take an Average of 1.79(8.7415 - 6.9930) or 2 Days Longer To Deliver </t>
  </si>
  <si>
    <t>Recommendations</t>
  </si>
  <si>
    <t>1- Monitor Order That Are Taking more than 7 Days to deliver , as They have high chance to return</t>
  </si>
  <si>
    <t>2 - Set Up Alert For delayed deliveries To take prevented actions</t>
  </si>
  <si>
    <t>Sales Form</t>
  </si>
  <si>
    <t xml:space="preserve">Customer Name : </t>
  </si>
  <si>
    <t xml:space="preserve">Nigeria </t>
  </si>
  <si>
    <t xml:space="preserve">Cash </t>
  </si>
  <si>
    <t>LUND</t>
  </si>
  <si>
    <t xml:space="preserve">Completed </t>
  </si>
  <si>
    <t xml:space="preserve">United Kingdom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</si>
</sst>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1499984740745262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333CC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5" tint="-0.499984740745262"/>
      <name val="Calibri"/>
      <family val="2"/>
      <scheme val="minor"/>
    </font>
    <font>
      <b/>
      <sz val="14"/>
      <color theme="3" tint="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7" fillId="2" borderId="0" xfId="0" applyFont="1" applyFill="1"/>
    <xf numFmtId="0" fontId="2" fillId="0" borderId="0" xfId="0" applyFont="1"/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9" fillId="4" borderId="14" xfId="0" applyFont="1" applyFill="1" applyBorder="1" applyAlignment="1">
      <alignment horizontal="left" vertical="center"/>
    </xf>
    <xf numFmtId="0" fontId="12" fillId="4" borderId="15" xfId="0" applyFont="1" applyFill="1" applyBorder="1" applyAlignment="1">
      <alignment horizontal="left" vertical="center"/>
    </xf>
    <xf numFmtId="0" fontId="12" fillId="4" borderId="16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5" fillId="0" borderId="0" xfId="0" applyFont="1" applyAlignment="1"/>
    <xf numFmtId="0" fontId="1" fillId="0" borderId="0" xfId="0" applyFont="1"/>
    <xf numFmtId="0" fontId="0" fillId="0" borderId="0" xfId="0" applyBorder="1"/>
    <xf numFmtId="0" fontId="0" fillId="6" borderId="0" xfId="0" applyFill="1" applyBorder="1"/>
    <xf numFmtId="0" fontId="16" fillId="5" borderId="17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7" fillId="2" borderId="0" xfId="0" applyFont="1" applyFill="1" applyBorder="1"/>
    <xf numFmtId="0" fontId="17" fillId="0" borderId="0" xfId="0" applyFont="1" applyBorder="1"/>
    <xf numFmtId="14" fontId="17" fillId="2" borderId="0" xfId="0" applyNumberFormat="1" applyFont="1" applyFill="1" applyBorder="1"/>
    <xf numFmtId="0" fontId="0" fillId="0" borderId="12" xfId="0" applyBorder="1"/>
    <xf numFmtId="0" fontId="0" fillId="0" borderId="13" xfId="0" applyBorder="1"/>
    <xf numFmtId="0" fontId="15" fillId="0" borderId="6" xfId="0" applyFont="1" applyBorder="1" applyAlignment="1"/>
    <xf numFmtId="14" fontId="0" fillId="6" borderId="0" xfId="0" applyNumberFormat="1" applyFill="1" applyBorder="1"/>
    <xf numFmtId="1" fontId="0" fillId="6" borderId="0" xfId="0" applyNumberFormat="1" applyFill="1" applyBorder="1"/>
    <xf numFmtId="0" fontId="1" fillId="6" borderId="0" xfId="0" applyFont="1" applyFill="1" applyBorder="1"/>
    <xf numFmtId="1" fontId="0" fillId="0" borderId="0" xfId="0" applyNumberFormat="1"/>
    <xf numFmtId="0" fontId="1" fillId="0" borderId="0" xfId="0" applyNumberFormat="1" applyFont="1"/>
    <xf numFmtId="0" fontId="1" fillId="0" borderId="0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984740745262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ost Per Unit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1379220</xdr:colOff>
          <xdr:row>17</xdr:row>
          <xdr:rowOff>22860</xdr:rowOff>
        </xdr:from>
        <xdr:to>
          <xdr:col>6</xdr:col>
          <xdr:colOff>1196340</xdr:colOff>
          <xdr:row>18</xdr:row>
          <xdr:rowOff>83820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5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6">
  <tableColumns count="2">
    <tableColumn id="1" xr3:uid="{00000000-0010-0000-0000-000001000000}" name="Product Name"/>
    <tableColumn id="2" xr3:uid="{00000000-0010-0000-0000-000002000000}" name="Cost Percentage"/>
  </tableColumns>
  <tableStyleInfo name="Cost Per Un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7F10E-4AD9-4D72-B67C-6217A0192603}" name="Table2" displayName="Table2" ref="A1:L557" totalsRowShown="0" headerRowDxfId="13" dataDxfId="12">
  <autoFilter ref="A1:L557" xr:uid="{8887F10E-4AD9-4D72-B67C-6217A0192603}"/>
  <tableColumns count="12">
    <tableColumn id="7" xr3:uid="{97779C11-F6F1-4F87-B9D9-2F1F870A0D4C}" name="Quantity" dataDxfId="11"/>
    <tableColumn id="8" xr3:uid="{F35FF9E0-61D3-4F9C-9304-B90512C0310A}" name="Unit Price" dataDxfId="10"/>
    <tableColumn id="9" xr3:uid="{72535FB8-52FC-4D2B-8688-D2CD854EE38B}" name="Status" dataDxfId="9"/>
    <tableColumn id="10" xr3:uid="{2A10BDCC-37E6-4A1D-A0A8-569C87B726D2}" name="Country" dataDxfId="8"/>
    <tableColumn id="11" xr3:uid="{4140BFFC-1868-4A2A-81A0-3A32871FC606}" name="Payment Method" dataDxfId="7"/>
    <tableColumn id="12" xr3:uid="{9802BBE3-C7E8-45DB-8E93-EC17CF100C40}" name="Year" dataDxfId="6">
      <calculatedColumnFormula>TEXT(#REF!,"YYY")</calculatedColumnFormula>
    </tableColumn>
    <tableColumn id="13" xr3:uid="{7540B39B-DFA5-4C15-93BD-2C81FEF70221}" name="Month" dataDxfId="5">
      <calculatedColumnFormula>TEXT(#REF!,"MMM")</calculatedColumnFormula>
    </tableColumn>
    <tableColumn id="14" xr3:uid="{17806542-68DA-4A8F-AD6E-A66E637E36EF}" name="Date" dataDxfId="4">
      <calculatedColumnFormula>TEXT(#REF!,"DDD")</calculatedColumnFormula>
    </tableColumn>
    <tableColumn id="15" xr3:uid="{F93DC354-8E0E-42E2-9701-7F901D968F72}" name="Delivery Time" dataDxfId="3">
      <calculatedColumnFormula>DATEDIF(#REF!,#REF!,"D")</calculatedColumnFormula>
    </tableColumn>
    <tableColumn id="16" xr3:uid="{AE8FEF05-71D1-4D72-A3A6-08E8EC0EB372}" name="Total Cost After Product Percentage Calc" dataDxfId="2">
      <calculatedColumnFormula>ROUND(Table2[[#This Row],[Quantity]]*Table2[[#This Row],[Unit Price]]*VLOOKUP(#REF!,Table_1[#All],2,FALSE),0)</calculatedColumnFormula>
    </tableColumn>
    <tableColumn id="17" xr3:uid="{2A19EDED-1FC0-401E-B68C-D9B09D1ED52B}" name="Sales Revenue" dataDxfId="1">
      <calculatedColumnFormula>Table2[[#This Row],[Quantity]]*Table2[[#This Row],[Unit Price]]</calculatedColumnFormula>
    </tableColumn>
    <tableColumn id="18" xr3:uid="{5E5BAF22-FB25-45EC-AB38-791BD0D5D790}" name="Net Profit" dataDxfId="0">
      <calculatedColumnFormula>Table2[[#This Row],[Sales Revenue]]-Table2[[#This Row],[Total Cost After Product Percentage Calc]]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94BB-184D-4810-AF9E-8B41C6484CFA}">
  <sheetPr codeName="Sheet1"/>
  <dimension ref="A1:D15"/>
  <sheetViews>
    <sheetView workbookViewId="0">
      <selection activeCell="D15" sqref="A1:D15"/>
    </sheetView>
  </sheetViews>
  <sheetFormatPr defaultRowHeight="14.4" x14ac:dyDescent="0.3"/>
  <sheetData>
    <row r="1" spans="1:4" x14ac:dyDescent="0.3">
      <c r="A1" s="8" t="s">
        <v>4</v>
      </c>
      <c r="B1" s="8"/>
      <c r="C1" s="8" t="s">
        <v>5</v>
      </c>
      <c r="D1" s="8"/>
    </row>
    <row r="3" spans="1:4" x14ac:dyDescent="0.3">
      <c r="A3" t="s">
        <v>49</v>
      </c>
      <c r="B3">
        <v>5.4036036036036039</v>
      </c>
      <c r="C3" t="s">
        <v>49</v>
      </c>
      <c r="D3">
        <v>496.95135135135138</v>
      </c>
    </row>
    <row r="4" spans="1:4" x14ac:dyDescent="0.3">
      <c r="A4" t="s">
        <v>50</v>
      </c>
      <c r="B4">
        <v>0.12491377053492385</v>
      </c>
      <c r="C4" t="s">
        <v>50</v>
      </c>
      <c r="D4">
        <v>12.169854646017843</v>
      </c>
    </row>
    <row r="5" spans="1:4" x14ac:dyDescent="0.3">
      <c r="A5" t="s">
        <v>51</v>
      </c>
      <c r="B5">
        <v>5</v>
      </c>
      <c r="C5" t="s">
        <v>51</v>
      </c>
      <c r="D5">
        <v>486</v>
      </c>
    </row>
    <row r="6" spans="1:4" x14ac:dyDescent="0.3">
      <c r="A6" t="s">
        <v>52</v>
      </c>
      <c r="B6">
        <v>3</v>
      </c>
      <c r="C6" t="s">
        <v>52</v>
      </c>
      <c r="D6">
        <v>200</v>
      </c>
    </row>
    <row r="7" spans="1:4" x14ac:dyDescent="0.3">
      <c r="A7" t="s">
        <v>53</v>
      </c>
      <c r="B7">
        <v>2.9427733158424969</v>
      </c>
      <c r="C7" t="s">
        <v>53</v>
      </c>
      <c r="D7">
        <v>286.70276588897281</v>
      </c>
    </row>
    <row r="8" spans="1:4" x14ac:dyDescent="0.3">
      <c r="A8" t="s">
        <v>54</v>
      </c>
      <c r="B8">
        <v>8.6599147884346444</v>
      </c>
      <c r="C8" t="s">
        <v>54</v>
      </c>
      <c r="D8">
        <v>82198.475968387153</v>
      </c>
    </row>
    <row r="9" spans="1:4" x14ac:dyDescent="0.3">
      <c r="A9" t="s">
        <v>55</v>
      </c>
      <c r="B9">
        <v>-1.3130806502004244</v>
      </c>
      <c r="C9" t="s">
        <v>55</v>
      </c>
      <c r="D9">
        <v>-1.1947453110672963</v>
      </c>
    </row>
    <row r="10" spans="1:4" x14ac:dyDescent="0.3">
      <c r="A10" t="s">
        <v>56</v>
      </c>
      <c r="B10">
        <v>2.4776099799179902E-2</v>
      </c>
      <c r="C10" t="s">
        <v>56</v>
      </c>
      <c r="D10">
        <v>7.0906229971402029E-2</v>
      </c>
    </row>
    <row r="11" spans="1:4" x14ac:dyDescent="0.3">
      <c r="A11" t="s">
        <v>57</v>
      </c>
      <c r="B11">
        <v>9</v>
      </c>
      <c r="C11" t="s">
        <v>57</v>
      </c>
      <c r="D11">
        <v>988</v>
      </c>
    </row>
    <row r="12" spans="1:4" x14ac:dyDescent="0.3">
      <c r="A12" t="s">
        <v>58</v>
      </c>
      <c r="B12">
        <v>1</v>
      </c>
      <c r="C12" t="s">
        <v>58</v>
      </c>
      <c r="D12">
        <v>10</v>
      </c>
    </row>
    <row r="13" spans="1:4" x14ac:dyDescent="0.3">
      <c r="A13" t="s">
        <v>59</v>
      </c>
      <c r="B13">
        <v>10</v>
      </c>
      <c r="C13" t="s">
        <v>59</v>
      </c>
      <c r="D13">
        <v>998</v>
      </c>
    </row>
    <row r="14" spans="1:4" x14ac:dyDescent="0.3">
      <c r="A14" t="s">
        <v>60</v>
      </c>
      <c r="B14">
        <v>2999</v>
      </c>
      <c r="C14" t="s">
        <v>60</v>
      </c>
      <c r="D14">
        <v>275808</v>
      </c>
    </row>
    <row r="15" spans="1:4" ht="15" thickBot="1" x14ac:dyDescent="0.35">
      <c r="A15" s="3" t="s">
        <v>61</v>
      </c>
      <c r="B15" s="3">
        <v>555</v>
      </c>
      <c r="C15" s="3" t="s">
        <v>61</v>
      </c>
      <c r="D15" s="3">
        <v>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00"/>
  <sheetViews>
    <sheetView workbookViewId="0"/>
  </sheetViews>
  <sheetFormatPr defaultColWidth="14.44140625" defaultRowHeight="15" customHeight="1" x14ac:dyDescent="0.3"/>
  <cols>
    <col min="1" max="1" width="15.44140625" customWidth="1"/>
    <col min="2" max="2" width="16.44140625" customWidth="1"/>
    <col min="3" max="26" width="8.6640625" customWidth="1"/>
  </cols>
  <sheetData>
    <row r="1" spans="1:2" ht="14.25" customHeight="1" x14ac:dyDescent="0.3">
      <c r="A1" s="1" t="s">
        <v>1</v>
      </c>
      <c r="B1" s="1" t="s">
        <v>48</v>
      </c>
    </row>
    <row r="2" spans="1:2" ht="14.25" customHeight="1" x14ac:dyDescent="0.3">
      <c r="A2" s="1" t="s">
        <v>9</v>
      </c>
      <c r="B2" s="1">
        <v>0.75</v>
      </c>
    </row>
    <row r="3" spans="1:2" ht="14.25" customHeight="1" x14ac:dyDescent="0.3">
      <c r="A3" s="1" t="s">
        <v>19</v>
      </c>
      <c r="B3" s="1">
        <v>0.65</v>
      </c>
    </row>
    <row r="4" spans="1:2" ht="14.25" customHeight="1" x14ac:dyDescent="0.3">
      <c r="A4" s="1" t="s">
        <v>25</v>
      </c>
      <c r="B4" s="1">
        <v>0.8</v>
      </c>
    </row>
    <row r="5" spans="1:2" ht="14.25" customHeight="1" x14ac:dyDescent="0.3">
      <c r="A5" s="1" t="s">
        <v>36</v>
      </c>
      <c r="B5" s="1">
        <v>0.85</v>
      </c>
    </row>
    <row r="6" spans="1:2" ht="14.25" customHeight="1" x14ac:dyDescent="0.3">
      <c r="A6" s="1" t="s">
        <v>43</v>
      </c>
      <c r="B6" s="1">
        <v>0.7</v>
      </c>
    </row>
    <row r="7" spans="1:2" ht="14.25" customHeight="1" x14ac:dyDescent="0.3">
      <c r="A7" s="1" t="s">
        <v>13</v>
      </c>
      <c r="B7" s="1">
        <v>0.5</v>
      </c>
    </row>
    <row r="8" spans="1:2" ht="14.25" customHeight="1" x14ac:dyDescent="0.3">
      <c r="A8" s="1" t="s">
        <v>35</v>
      </c>
      <c r="B8" s="1">
        <v>0.55000000000000004</v>
      </c>
    </row>
    <row r="9" spans="1:2" ht="14.25" customHeight="1" x14ac:dyDescent="0.3">
      <c r="A9" s="1" t="s">
        <v>29</v>
      </c>
      <c r="B9" s="1">
        <v>0.6</v>
      </c>
    </row>
    <row r="10" spans="1:2" ht="14.25" customHeight="1" x14ac:dyDescent="0.3">
      <c r="A10" s="1" t="s">
        <v>37</v>
      </c>
      <c r="B10" s="1">
        <v>0.65</v>
      </c>
    </row>
    <row r="11" spans="1:2" ht="14.25" customHeight="1" x14ac:dyDescent="0.3">
      <c r="A11" s="1" t="s">
        <v>38</v>
      </c>
      <c r="B11" s="1">
        <v>0.5</v>
      </c>
    </row>
    <row r="12" spans="1:2" ht="14.25" customHeight="1" x14ac:dyDescent="0.3">
      <c r="A12" s="1" t="s">
        <v>33</v>
      </c>
      <c r="B12" s="1">
        <v>0.7</v>
      </c>
    </row>
    <row r="13" spans="1:2" ht="14.25" customHeight="1" x14ac:dyDescent="0.3">
      <c r="A13" s="1" t="s">
        <v>15</v>
      </c>
      <c r="B13" s="1">
        <v>0.75</v>
      </c>
    </row>
    <row r="14" spans="1:2" ht="14.25" customHeight="1" x14ac:dyDescent="0.3">
      <c r="A14" s="1" t="s">
        <v>42</v>
      </c>
      <c r="B14" s="1">
        <v>0.8</v>
      </c>
    </row>
    <row r="15" spans="1:2" ht="14.25" customHeight="1" x14ac:dyDescent="0.3">
      <c r="A15" s="1" t="s">
        <v>34</v>
      </c>
      <c r="B15" s="1">
        <v>0.7</v>
      </c>
    </row>
    <row r="16" spans="1:2" ht="14.25" customHeight="1" x14ac:dyDescent="0.3">
      <c r="A16" s="1" t="s">
        <v>27</v>
      </c>
      <c r="B16" s="1">
        <v>0.65</v>
      </c>
    </row>
    <row r="17" spans="1:2" ht="14.25" customHeight="1" x14ac:dyDescent="0.3">
      <c r="A17" s="1" t="s">
        <v>18</v>
      </c>
      <c r="B17" s="1">
        <v>0.55000000000000004</v>
      </c>
    </row>
    <row r="18" spans="1:2" ht="14.25" customHeight="1" x14ac:dyDescent="0.3">
      <c r="A18" s="1" t="s">
        <v>26</v>
      </c>
      <c r="B18" s="1">
        <v>0.5</v>
      </c>
    </row>
    <row r="19" spans="1:2" ht="14.25" customHeight="1" x14ac:dyDescent="0.3">
      <c r="A19" s="1" t="s">
        <v>44</v>
      </c>
      <c r="B19" s="1">
        <v>0.6</v>
      </c>
    </row>
    <row r="20" spans="1:2" ht="14.25" customHeight="1" x14ac:dyDescent="0.3">
      <c r="A20" s="1" t="s">
        <v>39</v>
      </c>
      <c r="B20" s="1">
        <v>0.55000000000000004</v>
      </c>
    </row>
    <row r="21" spans="1:2" ht="14.25" customHeight="1" x14ac:dyDescent="0.3">
      <c r="A21" s="1" t="s">
        <v>45</v>
      </c>
      <c r="B21" s="1">
        <v>0.6</v>
      </c>
    </row>
    <row r="22" spans="1:2" ht="14.25" customHeight="1" x14ac:dyDescent="0.3">
      <c r="A22" s="1" t="s">
        <v>23</v>
      </c>
      <c r="B22" s="1">
        <v>0.75</v>
      </c>
    </row>
    <row r="23" spans="1:2" ht="14.25" customHeight="1" x14ac:dyDescent="0.3">
      <c r="A23" s="1" t="s">
        <v>28</v>
      </c>
      <c r="B23" s="1">
        <v>0.65</v>
      </c>
    </row>
    <row r="24" spans="1:2" ht="14.25" customHeight="1" x14ac:dyDescent="0.3">
      <c r="A24" s="1" t="s">
        <v>32</v>
      </c>
      <c r="B24" s="1">
        <v>0.7</v>
      </c>
    </row>
    <row r="25" spans="1:2" ht="14.25" customHeight="1" x14ac:dyDescent="0.3">
      <c r="A25" s="1" t="s">
        <v>40</v>
      </c>
      <c r="B25" s="1">
        <v>0.75</v>
      </c>
    </row>
    <row r="26" spans="1:2" ht="14.25" customHeight="1" x14ac:dyDescent="0.3">
      <c r="A26" s="1" t="s">
        <v>41</v>
      </c>
      <c r="B26" s="1">
        <v>0.65</v>
      </c>
    </row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9879-20FC-4F45-82F7-DCDE9FA98DAA}">
  <sheetPr codeName="Sheet3"/>
  <dimension ref="B3:M329"/>
  <sheetViews>
    <sheetView topLeftCell="B18" zoomScale="68" workbookViewId="0">
      <selection activeCell="H44" sqref="H44"/>
    </sheetView>
  </sheetViews>
  <sheetFormatPr defaultRowHeight="14.4" x14ac:dyDescent="0.3"/>
  <cols>
    <col min="1" max="1" width="26.88671875" style="9" customWidth="1"/>
    <col min="2" max="2" width="60.44140625" style="9" bestFit="1" customWidth="1"/>
    <col min="3" max="3" width="17.88671875" style="9" customWidth="1"/>
    <col min="4" max="4" width="16.5546875" style="9" bestFit="1" customWidth="1"/>
    <col min="5" max="5" width="96.109375" style="9" bestFit="1" customWidth="1"/>
    <col min="6" max="6" width="16.5546875" style="9" bestFit="1" customWidth="1"/>
    <col min="7" max="7" width="14.44140625" style="9" customWidth="1"/>
    <col min="8" max="8" width="17.21875" style="9" customWidth="1"/>
    <col min="9" max="9" width="12" style="9" bestFit="1" customWidth="1"/>
    <col min="10" max="10" width="16.5546875" style="9" bestFit="1" customWidth="1"/>
    <col min="11" max="11" width="10.5546875" style="9" customWidth="1"/>
    <col min="12" max="12" width="16.5546875" style="9" bestFit="1" customWidth="1"/>
    <col min="13" max="13" width="13.21875" style="9" customWidth="1"/>
    <col min="14" max="16384" width="8.88671875" style="9"/>
  </cols>
  <sheetData>
    <row r="3" spans="2:13" ht="15" thickBot="1" x14ac:dyDescent="0.35"/>
    <row r="4" spans="2:13" ht="29.4" thickBot="1" x14ac:dyDescent="0.35">
      <c r="B4" s="41" t="s">
        <v>69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6" spans="2:13" ht="15" thickBot="1" x14ac:dyDescent="0.35"/>
    <row r="7" spans="2:13" ht="17.399999999999999" x14ac:dyDescent="0.35">
      <c r="B7" s="48" t="s">
        <v>65</v>
      </c>
      <c r="C7" s="49"/>
      <c r="D7" s="48" t="s">
        <v>66</v>
      </c>
      <c r="E7" s="49"/>
      <c r="F7" s="48" t="s">
        <v>68</v>
      </c>
      <c r="G7" s="49"/>
      <c r="H7" s="50" t="s">
        <v>67</v>
      </c>
      <c r="I7" s="49"/>
      <c r="J7" s="51" t="s">
        <v>4</v>
      </c>
      <c r="K7" s="52"/>
      <c r="L7" s="53" t="s">
        <v>5</v>
      </c>
      <c r="M7" s="52"/>
    </row>
    <row r="8" spans="2:13" x14ac:dyDescent="0.3">
      <c r="B8" s="11"/>
      <c r="C8" s="12"/>
      <c r="D8" s="11"/>
      <c r="E8" s="12"/>
      <c r="F8" s="11"/>
      <c r="G8" s="12"/>
      <c r="I8" s="12"/>
      <c r="J8" s="17"/>
      <c r="K8" s="18"/>
      <c r="L8"/>
      <c r="M8" s="18"/>
    </row>
    <row r="9" spans="2:13" x14ac:dyDescent="0.3">
      <c r="B9" s="11" t="s">
        <v>49</v>
      </c>
      <c r="C9" s="12">
        <v>7.8450450450450449</v>
      </c>
      <c r="D9" s="11" t="s">
        <v>49</v>
      </c>
      <c r="E9" s="12">
        <v>1724.7783783783784</v>
      </c>
      <c r="F9" s="11" t="s">
        <v>49</v>
      </c>
      <c r="G9" s="12">
        <v>2651.4432432432432</v>
      </c>
      <c r="H9" s="9" t="s">
        <v>49</v>
      </c>
      <c r="I9" s="12">
        <v>926.66486486486485</v>
      </c>
      <c r="J9" s="21" t="s">
        <v>49</v>
      </c>
      <c r="K9" s="22">
        <v>5.4036036036036039</v>
      </c>
      <c r="L9" s="23" t="s">
        <v>49</v>
      </c>
      <c r="M9" s="22">
        <v>496.95135135135138</v>
      </c>
    </row>
    <row r="10" spans="2:13" x14ac:dyDescent="0.3">
      <c r="B10" s="11" t="s">
        <v>50</v>
      </c>
      <c r="C10" s="12">
        <v>0.16495863205869249</v>
      </c>
      <c r="D10" s="11" t="s">
        <v>50</v>
      </c>
      <c r="E10" s="12">
        <v>62.580494721939502</v>
      </c>
      <c r="F10" s="11" t="s">
        <v>50</v>
      </c>
      <c r="G10" s="12">
        <v>93.337646365775441</v>
      </c>
      <c r="H10" s="9" t="s">
        <v>50</v>
      </c>
      <c r="I10" s="12">
        <v>35.608461337590334</v>
      </c>
      <c r="J10" s="21" t="s">
        <v>50</v>
      </c>
      <c r="K10" s="22">
        <v>0.12491377053492385</v>
      </c>
      <c r="L10" s="23" t="s">
        <v>50</v>
      </c>
      <c r="M10" s="22">
        <v>12.169854646017843</v>
      </c>
    </row>
    <row r="11" spans="2:13" x14ac:dyDescent="0.3">
      <c r="B11" s="11" t="s">
        <v>51</v>
      </c>
      <c r="C11" s="12">
        <v>7</v>
      </c>
      <c r="D11" s="11" t="s">
        <v>51</v>
      </c>
      <c r="E11" s="12">
        <v>1263</v>
      </c>
      <c r="F11" s="11" t="s">
        <v>51</v>
      </c>
      <c r="G11" s="12">
        <v>1938</v>
      </c>
      <c r="H11" s="9" t="s">
        <v>51</v>
      </c>
      <c r="I11" s="12">
        <v>651</v>
      </c>
      <c r="J11" s="21" t="s">
        <v>51</v>
      </c>
      <c r="K11" s="22">
        <v>5</v>
      </c>
      <c r="L11" s="23" t="s">
        <v>51</v>
      </c>
      <c r="M11" s="22">
        <v>486</v>
      </c>
    </row>
    <row r="12" spans="2:13" x14ac:dyDescent="0.3">
      <c r="B12" s="11" t="s">
        <v>52</v>
      </c>
      <c r="C12" s="12">
        <v>6</v>
      </c>
      <c r="D12" s="11" t="s">
        <v>52</v>
      </c>
      <c r="E12" s="12">
        <v>34</v>
      </c>
      <c r="F12" s="11" t="s">
        <v>52</v>
      </c>
      <c r="G12" s="12">
        <v>1512</v>
      </c>
      <c r="H12" s="9" t="s">
        <v>52</v>
      </c>
      <c r="I12" s="12">
        <v>616</v>
      </c>
      <c r="J12" s="21" t="s">
        <v>52</v>
      </c>
      <c r="K12" s="22">
        <v>3</v>
      </c>
      <c r="L12" s="23" t="s">
        <v>52</v>
      </c>
      <c r="M12" s="22">
        <v>200</v>
      </c>
    </row>
    <row r="13" spans="2:13" x14ac:dyDescent="0.3">
      <c r="B13" s="11" t="s">
        <v>53</v>
      </c>
      <c r="C13" s="12">
        <v>3.886167702419014</v>
      </c>
      <c r="D13" s="11" t="s">
        <v>53</v>
      </c>
      <c r="E13" s="12">
        <v>1474.2987035881492</v>
      </c>
      <c r="F13" s="11" t="s">
        <v>53</v>
      </c>
      <c r="G13" s="12">
        <v>2198.889152993374</v>
      </c>
      <c r="H13" s="9" t="s">
        <v>53</v>
      </c>
      <c r="I13" s="12">
        <v>838.87972794138943</v>
      </c>
      <c r="J13" s="21" t="s">
        <v>53</v>
      </c>
      <c r="K13" s="22">
        <v>2.9427733158424969</v>
      </c>
      <c r="L13" s="23" t="s">
        <v>53</v>
      </c>
      <c r="M13" s="22">
        <v>286.70276588897281</v>
      </c>
    </row>
    <row r="14" spans="2:13" x14ac:dyDescent="0.3">
      <c r="B14" s="11" t="s">
        <v>54</v>
      </c>
      <c r="C14" s="12">
        <v>15.102299411324678</v>
      </c>
      <c r="D14" s="11" t="s">
        <v>54</v>
      </c>
      <c r="E14" s="12">
        <v>2173556.6674016975</v>
      </c>
      <c r="F14" s="11" t="s">
        <v>54</v>
      </c>
      <c r="G14" s="12">
        <v>4835113.5071519166</v>
      </c>
      <c r="H14" s="9" t="s">
        <v>54</v>
      </c>
      <c r="I14" s="12">
        <v>703719.19795101951</v>
      </c>
      <c r="J14" s="21" t="s">
        <v>54</v>
      </c>
      <c r="K14" s="22">
        <v>8.6599147884346444</v>
      </c>
      <c r="L14" s="23" t="s">
        <v>54</v>
      </c>
      <c r="M14" s="22">
        <v>82198.475968387153</v>
      </c>
    </row>
    <row r="15" spans="2:13" x14ac:dyDescent="0.3">
      <c r="B15" s="11" t="s">
        <v>55</v>
      </c>
      <c r="C15" s="12">
        <v>-0.30501814526275295</v>
      </c>
      <c r="D15" s="11" t="s">
        <v>55</v>
      </c>
      <c r="E15" s="12">
        <v>0.55216843519139136</v>
      </c>
      <c r="F15" s="11" t="s">
        <v>55</v>
      </c>
      <c r="G15" s="12">
        <v>-5.9990258453900047E-2</v>
      </c>
      <c r="H15" s="9" t="s">
        <v>55</v>
      </c>
      <c r="I15" s="12">
        <v>1.4417091350912776</v>
      </c>
      <c r="J15" s="21" t="s">
        <v>55</v>
      </c>
      <c r="K15" s="22">
        <v>-1.3130806502004244</v>
      </c>
      <c r="L15" s="23" t="s">
        <v>55</v>
      </c>
      <c r="M15" s="22">
        <v>-1.1947453110672963</v>
      </c>
    </row>
    <row r="16" spans="2:13" x14ac:dyDescent="0.3">
      <c r="B16" s="11" t="s">
        <v>56</v>
      </c>
      <c r="C16" s="12">
        <v>0.38285607387120102</v>
      </c>
      <c r="D16" s="11" t="s">
        <v>56</v>
      </c>
      <c r="E16" s="12">
        <v>1.0808497675392676</v>
      </c>
      <c r="F16" s="11" t="s">
        <v>56</v>
      </c>
      <c r="G16" s="12">
        <v>0.91702481888276277</v>
      </c>
      <c r="H16" s="9" t="s">
        <v>56</v>
      </c>
      <c r="I16" s="12">
        <v>1.285148260628677</v>
      </c>
      <c r="J16" s="21" t="s">
        <v>56</v>
      </c>
      <c r="K16" s="22">
        <v>2.4776099799179902E-2</v>
      </c>
      <c r="L16" s="23" t="s">
        <v>56</v>
      </c>
      <c r="M16" s="22">
        <v>7.0906229971402029E-2</v>
      </c>
    </row>
    <row r="17" spans="2:13" x14ac:dyDescent="0.3">
      <c r="B17" s="11" t="s">
        <v>57</v>
      </c>
      <c r="C17" s="12">
        <v>21</v>
      </c>
      <c r="D17" s="11" t="s">
        <v>57</v>
      </c>
      <c r="E17" s="12">
        <v>7297</v>
      </c>
      <c r="F17" s="11" t="s">
        <v>57</v>
      </c>
      <c r="G17" s="12">
        <v>9727</v>
      </c>
      <c r="H17" s="9" t="s">
        <v>57</v>
      </c>
      <c r="I17" s="12">
        <v>4610</v>
      </c>
      <c r="J17" s="21" t="s">
        <v>57</v>
      </c>
      <c r="K17" s="22">
        <v>9</v>
      </c>
      <c r="L17" s="23" t="s">
        <v>57</v>
      </c>
      <c r="M17" s="22">
        <v>988</v>
      </c>
    </row>
    <row r="18" spans="2:13" x14ac:dyDescent="0.3">
      <c r="B18" s="11" t="s">
        <v>58</v>
      </c>
      <c r="C18" s="12">
        <v>1</v>
      </c>
      <c r="D18" s="11" t="s">
        <v>58</v>
      </c>
      <c r="E18" s="12">
        <v>8</v>
      </c>
      <c r="F18" s="11" t="s">
        <v>58</v>
      </c>
      <c r="G18" s="12">
        <v>13</v>
      </c>
      <c r="H18" s="9" t="s">
        <v>58</v>
      </c>
      <c r="I18" s="12">
        <v>5</v>
      </c>
      <c r="J18" s="21" t="s">
        <v>58</v>
      </c>
      <c r="K18" s="22">
        <v>1</v>
      </c>
      <c r="L18" s="23" t="s">
        <v>58</v>
      </c>
      <c r="M18" s="22">
        <v>10</v>
      </c>
    </row>
    <row r="19" spans="2:13" x14ac:dyDescent="0.3">
      <c r="B19" s="11" t="s">
        <v>59</v>
      </c>
      <c r="C19" s="12">
        <v>22</v>
      </c>
      <c r="D19" s="11" t="s">
        <v>59</v>
      </c>
      <c r="E19" s="12">
        <v>7305</v>
      </c>
      <c r="F19" s="11" t="s">
        <v>59</v>
      </c>
      <c r="G19" s="12">
        <v>9740</v>
      </c>
      <c r="H19" s="9" t="s">
        <v>59</v>
      </c>
      <c r="I19" s="12">
        <v>4615</v>
      </c>
      <c r="J19" s="21" t="s">
        <v>59</v>
      </c>
      <c r="K19" s="22">
        <v>10</v>
      </c>
      <c r="L19" s="23" t="s">
        <v>59</v>
      </c>
      <c r="M19" s="22">
        <v>998</v>
      </c>
    </row>
    <row r="20" spans="2:13" x14ac:dyDescent="0.3">
      <c r="B20" s="11" t="s">
        <v>60</v>
      </c>
      <c r="C20" s="12">
        <v>4354</v>
      </c>
      <c r="D20" s="11" t="s">
        <v>60</v>
      </c>
      <c r="E20" s="12">
        <v>957252</v>
      </c>
      <c r="F20" s="11" t="s">
        <v>60</v>
      </c>
      <c r="G20" s="12">
        <v>1471551</v>
      </c>
      <c r="H20" s="9" t="s">
        <v>60</v>
      </c>
      <c r="I20" s="12">
        <v>514299</v>
      </c>
      <c r="J20" s="21" t="s">
        <v>60</v>
      </c>
      <c r="K20" s="22">
        <v>2999</v>
      </c>
      <c r="L20" s="23" t="s">
        <v>60</v>
      </c>
      <c r="M20" s="22">
        <v>275808</v>
      </c>
    </row>
    <row r="21" spans="2:13" ht="15" thickBot="1" x14ac:dyDescent="0.35">
      <c r="B21" s="13" t="s">
        <v>61</v>
      </c>
      <c r="C21" s="14">
        <v>555</v>
      </c>
      <c r="D21" s="13" t="s">
        <v>61</v>
      </c>
      <c r="E21" s="14">
        <v>555</v>
      </c>
      <c r="F21" s="13" t="s">
        <v>61</v>
      </c>
      <c r="G21" s="14">
        <v>555</v>
      </c>
      <c r="H21" s="10" t="s">
        <v>61</v>
      </c>
      <c r="I21" s="14">
        <v>555</v>
      </c>
      <c r="J21" s="24" t="s">
        <v>61</v>
      </c>
      <c r="K21" s="25">
        <v>555</v>
      </c>
      <c r="L21" s="26" t="s">
        <v>61</v>
      </c>
      <c r="M21" s="25">
        <v>555</v>
      </c>
    </row>
    <row r="29" spans="2:13" ht="28.8" x14ac:dyDescent="0.3">
      <c r="B29" s="44" t="s">
        <v>70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1" spans="2:13" ht="31.2" x14ac:dyDescent="0.3">
      <c r="B31" s="30" t="s">
        <v>71</v>
      </c>
    </row>
    <row r="32" spans="2:13" x14ac:dyDescent="0.3">
      <c r="B32" s="27" t="s">
        <v>72</v>
      </c>
    </row>
    <row r="34" spans="2:10" ht="28.8" x14ac:dyDescent="0.3">
      <c r="B34" s="28" t="s">
        <v>73</v>
      </c>
    </row>
    <row r="35" spans="2:10" x14ac:dyDescent="0.3">
      <c r="B35" s="29" t="s">
        <v>74</v>
      </c>
    </row>
    <row r="36" spans="2:10" x14ac:dyDescent="0.3">
      <c r="J36" s="27" t="s">
        <v>93</v>
      </c>
    </row>
    <row r="37" spans="2:10" ht="15" thickBot="1" x14ac:dyDescent="0.35"/>
    <row r="38" spans="2:10" ht="28.8" x14ac:dyDescent="0.3">
      <c r="B38" s="28" t="s">
        <v>75</v>
      </c>
      <c r="E38" s="34" t="s">
        <v>92</v>
      </c>
    </row>
    <row r="39" spans="2:10" x14ac:dyDescent="0.3">
      <c r="B39" s="29" t="s">
        <v>76</v>
      </c>
      <c r="E39" s="39" t="s">
        <v>89</v>
      </c>
    </row>
    <row r="40" spans="2:10" x14ac:dyDescent="0.3">
      <c r="E40" s="39" t="s">
        <v>91</v>
      </c>
    </row>
    <row r="41" spans="2:10" ht="15" thickBot="1" x14ac:dyDescent="0.35">
      <c r="E41" s="40" t="s">
        <v>90</v>
      </c>
    </row>
    <row r="42" spans="2:10" x14ac:dyDescent="0.3">
      <c r="B42" s="31" t="s">
        <v>77</v>
      </c>
      <c r="C42" s="32" t="s">
        <v>20</v>
      </c>
    </row>
    <row r="43" spans="2:10" ht="15" thickBot="1" x14ac:dyDescent="0.35">
      <c r="B43" s="21">
        <v>4</v>
      </c>
      <c r="C43" s="22">
        <v>16</v>
      </c>
    </row>
    <row r="44" spans="2:10" ht="28.8" x14ac:dyDescent="0.3">
      <c r="B44" s="21">
        <v>6</v>
      </c>
      <c r="C44" s="22">
        <v>12</v>
      </c>
      <c r="E44" s="34" t="s">
        <v>94</v>
      </c>
    </row>
    <row r="45" spans="2:10" x14ac:dyDescent="0.3">
      <c r="B45" s="21">
        <v>10</v>
      </c>
      <c r="C45" s="22">
        <v>15</v>
      </c>
      <c r="E45" s="37"/>
    </row>
    <row r="46" spans="2:10" ht="15" thickBot="1" x14ac:dyDescent="0.35">
      <c r="B46" s="21">
        <v>5</v>
      </c>
      <c r="C46" s="22">
        <v>10</v>
      </c>
      <c r="E46" s="38" t="s">
        <v>95</v>
      </c>
    </row>
    <row r="47" spans="2:10" ht="15" thickBot="1" x14ac:dyDescent="0.35">
      <c r="B47" s="21">
        <v>6</v>
      </c>
      <c r="C47" s="22">
        <v>14</v>
      </c>
    </row>
    <row r="48" spans="2:10" ht="15" thickBot="1" x14ac:dyDescent="0.35">
      <c r="B48" s="33">
        <v>10</v>
      </c>
      <c r="C48" s="22">
        <v>8</v>
      </c>
    </row>
    <row r="49" spans="2:7" ht="28.8" x14ac:dyDescent="0.3">
      <c r="B49" s="21">
        <v>4</v>
      </c>
      <c r="C49" s="22">
        <v>8</v>
      </c>
      <c r="E49" s="34" t="s">
        <v>96</v>
      </c>
    </row>
    <row r="50" spans="2:7" ht="15" thickBot="1" x14ac:dyDescent="0.35">
      <c r="B50" s="21">
        <v>9</v>
      </c>
      <c r="C50" s="25">
        <v>12</v>
      </c>
      <c r="E50" s="35" t="s">
        <v>97</v>
      </c>
    </row>
    <row r="51" spans="2:7" ht="15" thickBot="1" x14ac:dyDescent="0.35">
      <c r="B51" s="21">
        <v>3</v>
      </c>
      <c r="C51" s="22">
        <v>11</v>
      </c>
      <c r="E51" s="36" t="s">
        <v>98</v>
      </c>
    </row>
    <row r="52" spans="2:7" x14ac:dyDescent="0.3">
      <c r="B52" s="21">
        <v>9</v>
      </c>
      <c r="C52" s="22">
        <v>5</v>
      </c>
    </row>
    <row r="53" spans="2:7" x14ac:dyDescent="0.3">
      <c r="B53" s="21">
        <v>9</v>
      </c>
      <c r="C53" s="22">
        <v>14</v>
      </c>
    </row>
    <row r="54" spans="2:7" x14ac:dyDescent="0.3">
      <c r="B54" s="21">
        <v>10</v>
      </c>
      <c r="C54" s="22">
        <v>5</v>
      </c>
    </row>
    <row r="55" spans="2:7" x14ac:dyDescent="0.3">
      <c r="B55" s="21">
        <v>6</v>
      </c>
      <c r="C55" s="22">
        <v>4</v>
      </c>
    </row>
    <row r="56" spans="2:7" ht="15" thickBot="1" x14ac:dyDescent="0.35">
      <c r="B56" s="21">
        <v>3</v>
      </c>
      <c r="C56" s="22">
        <v>6</v>
      </c>
    </row>
    <row r="57" spans="2:7" ht="21.6" thickBot="1" x14ac:dyDescent="0.45">
      <c r="B57" s="21">
        <v>3</v>
      </c>
      <c r="C57" s="22">
        <v>11</v>
      </c>
      <c r="E57" s="45" t="s">
        <v>78</v>
      </c>
      <c r="F57" s="46"/>
      <c r="G57" s="47"/>
    </row>
    <row r="58" spans="2:7" ht="15" thickBot="1" x14ac:dyDescent="0.35">
      <c r="B58" s="21">
        <v>10</v>
      </c>
      <c r="C58" s="22">
        <v>3</v>
      </c>
      <c r="E58"/>
      <c r="F58"/>
      <c r="G58"/>
    </row>
    <row r="59" spans="2:7" x14ac:dyDescent="0.3">
      <c r="B59" s="21">
        <v>11</v>
      </c>
      <c r="C59" s="22">
        <v>14</v>
      </c>
      <c r="E59" s="15"/>
      <c r="F59" s="8">
        <v>4</v>
      </c>
      <c r="G59" s="16">
        <v>16</v>
      </c>
    </row>
    <row r="60" spans="2:7" x14ac:dyDescent="0.3">
      <c r="B60" s="21">
        <v>3</v>
      </c>
      <c r="C60" s="22">
        <v>7</v>
      </c>
      <c r="E60" s="17" t="s">
        <v>49</v>
      </c>
      <c r="F60">
        <v>6.9930069930069934</v>
      </c>
      <c r="G60" s="18">
        <v>8.7415730337078656</v>
      </c>
    </row>
    <row r="61" spans="2:7" x14ac:dyDescent="0.3">
      <c r="B61" s="21">
        <v>12</v>
      </c>
      <c r="C61" s="22">
        <v>3</v>
      </c>
      <c r="E61" s="17" t="s">
        <v>79</v>
      </c>
      <c r="F61">
        <v>12.715740399950926</v>
      </c>
      <c r="G61" s="18">
        <v>15.936723832052035</v>
      </c>
    </row>
    <row r="62" spans="2:7" x14ac:dyDescent="0.3">
      <c r="B62" s="21">
        <v>14</v>
      </c>
      <c r="C62" s="22">
        <v>10</v>
      </c>
      <c r="E62" s="17" t="s">
        <v>80</v>
      </c>
      <c r="F62">
        <v>286</v>
      </c>
      <c r="G62" s="18">
        <v>267</v>
      </c>
    </row>
    <row r="63" spans="2:7" x14ac:dyDescent="0.3">
      <c r="B63" s="21">
        <v>7</v>
      </c>
      <c r="C63" s="22">
        <v>7</v>
      </c>
      <c r="E63" s="17" t="s">
        <v>81</v>
      </c>
      <c r="F63">
        <v>0</v>
      </c>
      <c r="G63" s="18"/>
    </row>
    <row r="64" spans="2:7" x14ac:dyDescent="0.3">
      <c r="B64" s="21">
        <v>3</v>
      </c>
      <c r="C64" s="22">
        <v>4</v>
      </c>
      <c r="E64" s="17" t="s">
        <v>82</v>
      </c>
      <c r="F64">
        <v>534</v>
      </c>
      <c r="G64" s="18"/>
    </row>
    <row r="65" spans="2:8" x14ac:dyDescent="0.3">
      <c r="B65" s="21">
        <v>5</v>
      </c>
      <c r="C65" s="22">
        <v>10</v>
      </c>
      <c r="E65" s="17" t="s">
        <v>83</v>
      </c>
      <c r="F65">
        <v>-5.4182000994605097</v>
      </c>
      <c r="G65" s="18"/>
    </row>
    <row r="66" spans="2:8" x14ac:dyDescent="0.3">
      <c r="B66" s="21">
        <v>13</v>
      </c>
      <c r="C66" s="22">
        <v>14</v>
      </c>
      <c r="E66" s="17" t="s">
        <v>84</v>
      </c>
      <c r="F66">
        <v>4.5614419369693398E-8</v>
      </c>
      <c r="G66" s="18"/>
    </row>
    <row r="67" spans="2:8" x14ac:dyDescent="0.3">
      <c r="B67" s="21">
        <v>5</v>
      </c>
      <c r="C67" s="22">
        <v>4</v>
      </c>
      <c r="E67" s="17" t="s">
        <v>85</v>
      </c>
      <c r="F67">
        <v>1.6477121141308841</v>
      </c>
      <c r="G67" s="18"/>
    </row>
    <row r="68" spans="2:8" x14ac:dyDescent="0.3">
      <c r="B68" s="21">
        <v>5</v>
      </c>
      <c r="C68" s="22">
        <v>13</v>
      </c>
      <c r="E68" s="17" t="s">
        <v>86</v>
      </c>
      <c r="F68">
        <v>9.1228838739386796E-8</v>
      </c>
      <c r="G68" s="18"/>
      <c r="H68" s="29" t="s">
        <v>88</v>
      </c>
    </row>
    <row r="69" spans="2:8" ht="15" thickBot="1" x14ac:dyDescent="0.35">
      <c r="B69" s="21">
        <v>12</v>
      </c>
      <c r="C69" s="22">
        <v>12</v>
      </c>
      <c r="E69" s="19" t="s">
        <v>87</v>
      </c>
      <c r="F69" s="3">
        <v>1.9644163549177112</v>
      </c>
      <c r="G69" s="20"/>
    </row>
    <row r="70" spans="2:8" x14ac:dyDescent="0.3">
      <c r="B70" s="21">
        <v>14</v>
      </c>
      <c r="C70" s="22">
        <v>11</v>
      </c>
    </row>
    <row r="71" spans="2:8" x14ac:dyDescent="0.3">
      <c r="B71" s="21">
        <v>7</v>
      </c>
      <c r="C71" s="22">
        <v>6</v>
      </c>
    </row>
    <row r="72" spans="2:8" x14ac:dyDescent="0.3">
      <c r="B72" s="21">
        <v>4</v>
      </c>
      <c r="C72" s="22">
        <v>13</v>
      </c>
    </row>
    <row r="73" spans="2:8" x14ac:dyDescent="0.3">
      <c r="B73" s="21">
        <v>8</v>
      </c>
      <c r="C73" s="22">
        <v>13</v>
      </c>
    </row>
    <row r="74" spans="2:8" x14ac:dyDescent="0.3">
      <c r="B74" s="21">
        <v>11</v>
      </c>
      <c r="C74" s="22">
        <v>6</v>
      </c>
    </row>
    <row r="75" spans="2:8" x14ac:dyDescent="0.3">
      <c r="B75" s="21">
        <v>6</v>
      </c>
      <c r="C75" s="22">
        <v>14</v>
      </c>
    </row>
    <row r="76" spans="2:8" x14ac:dyDescent="0.3">
      <c r="B76" s="21">
        <v>5</v>
      </c>
      <c r="C76" s="22">
        <v>13</v>
      </c>
    </row>
    <row r="77" spans="2:8" x14ac:dyDescent="0.3">
      <c r="B77" s="21">
        <v>11</v>
      </c>
      <c r="C77" s="22">
        <v>14</v>
      </c>
    </row>
    <row r="78" spans="2:8" x14ac:dyDescent="0.3">
      <c r="B78" s="21">
        <v>4</v>
      </c>
      <c r="C78" s="22">
        <v>5</v>
      </c>
    </row>
    <row r="79" spans="2:8" x14ac:dyDescent="0.3">
      <c r="B79" s="21">
        <v>7</v>
      </c>
      <c r="C79" s="22">
        <v>12</v>
      </c>
    </row>
    <row r="80" spans="2:8" x14ac:dyDescent="0.3">
      <c r="B80" s="21">
        <v>9</v>
      </c>
      <c r="C80" s="22">
        <v>3</v>
      </c>
    </row>
    <row r="81" spans="2:3" x14ac:dyDescent="0.3">
      <c r="B81" s="21">
        <v>8</v>
      </c>
      <c r="C81" s="22">
        <v>11</v>
      </c>
    </row>
    <row r="82" spans="2:3" x14ac:dyDescent="0.3">
      <c r="B82" s="21">
        <v>13</v>
      </c>
      <c r="C82" s="22">
        <v>7</v>
      </c>
    </row>
    <row r="83" spans="2:3" x14ac:dyDescent="0.3">
      <c r="B83" s="21">
        <v>6</v>
      </c>
      <c r="C83" s="22">
        <v>12</v>
      </c>
    </row>
    <row r="84" spans="2:3" x14ac:dyDescent="0.3">
      <c r="B84" s="21">
        <v>14</v>
      </c>
      <c r="C84" s="22">
        <v>7</v>
      </c>
    </row>
    <row r="85" spans="2:3" x14ac:dyDescent="0.3">
      <c r="B85" s="21">
        <v>9</v>
      </c>
      <c r="C85" s="22">
        <v>12</v>
      </c>
    </row>
    <row r="86" spans="2:3" x14ac:dyDescent="0.3">
      <c r="B86" s="21">
        <v>14</v>
      </c>
      <c r="C86" s="22">
        <v>10</v>
      </c>
    </row>
    <row r="87" spans="2:3" x14ac:dyDescent="0.3">
      <c r="B87" s="21">
        <v>11</v>
      </c>
      <c r="C87" s="22">
        <v>9</v>
      </c>
    </row>
    <row r="88" spans="2:3" x14ac:dyDescent="0.3">
      <c r="B88" s="21">
        <v>13</v>
      </c>
      <c r="C88" s="22">
        <v>7</v>
      </c>
    </row>
    <row r="89" spans="2:3" x14ac:dyDescent="0.3">
      <c r="B89" s="21">
        <v>7</v>
      </c>
      <c r="C89" s="22">
        <v>10</v>
      </c>
    </row>
    <row r="90" spans="2:3" x14ac:dyDescent="0.3">
      <c r="B90" s="21">
        <v>6</v>
      </c>
      <c r="C90" s="22">
        <v>6</v>
      </c>
    </row>
    <row r="91" spans="2:3" x14ac:dyDescent="0.3">
      <c r="B91" s="21">
        <v>5</v>
      </c>
      <c r="C91" s="22">
        <v>5</v>
      </c>
    </row>
    <row r="92" spans="2:3" x14ac:dyDescent="0.3">
      <c r="B92" s="21">
        <v>10</v>
      </c>
      <c r="C92" s="22">
        <v>7</v>
      </c>
    </row>
    <row r="93" spans="2:3" x14ac:dyDescent="0.3">
      <c r="B93" s="21">
        <v>4</v>
      </c>
      <c r="C93" s="22">
        <v>5</v>
      </c>
    </row>
    <row r="94" spans="2:3" x14ac:dyDescent="0.3">
      <c r="B94" s="21">
        <v>13</v>
      </c>
      <c r="C94" s="22">
        <v>4</v>
      </c>
    </row>
    <row r="95" spans="2:3" x14ac:dyDescent="0.3">
      <c r="B95" s="21">
        <v>4</v>
      </c>
      <c r="C95" s="22">
        <v>5</v>
      </c>
    </row>
    <row r="96" spans="2:3" x14ac:dyDescent="0.3">
      <c r="B96" s="21">
        <v>14</v>
      </c>
      <c r="C96" s="22">
        <v>4</v>
      </c>
    </row>
    <row r="97" spans="2:3" x14ac:dyDescent="0.3">
      <c r="B97" s="21">
        <v>12</v>
      </c>
      <c r="C97" s="22">
        <v>14</v>
      </c>
    </row>
    <row r="98" spans="2:3" x14ac:dyDescent="0.3">
      <c r="B98" s="21">
        <v>4</v>
      </c>
      <c r="C98" s="22">
        <v>21</v>
      </c>
    </row>
    <row r="99" spans="2:3" x14ac:dyDescent="0.3">
      <c r="B99" s="21">
        <v>4</v>
      </c>
      <c r="C99" s="22">
        <v>4</v>
      </c>
    </row>
    <row r="100" spans="2:3" x14ac:dyDescent="0.3">
      <c r="B100" s="21">
        <v>7</v>
      </c>
      <c r="C100" s="22">
        <v>13</v>
      </c>
    </row>
    <row r="101" spans="2:3" x14ac:dyDescent="0.3">
      <c r="B101" s="21">
        <v>11</v>
      </c>
      <c r="C101" s="22">
        <v>6</v>
      </c>
    </row>
    <row r="102" spans="2:3" x14ac:dyDescent="0.3">
      <c r="B102" s="21">
        <v>6</v>
      </c>
      <c r="C102" s="22">
        <v>12</v>
      </c>
    </row>
    <row r="103" spans="2:3" x14ac:dyDescent="0.3">
      <c r="B103" s="21">
        <v>4</v>
      </c>
      <c r="C103" s="22">
        <v>7</v>
      </c>
    </row>
    <row r="104" spans="2:3" x14ac:dyDescent="0.3">
      <c r="B104" s="21">
        <v>6</v>
      </c>
      <c r="C104" s="22">
        <v>12</v>
      </c>
    </row>
    <row r="105" spans="2:3" x14ac:dyDescent="0.3">
      <c r="B105" s="21">
        <v>8</v>
      </c>
      <c r="C105" s="22">
        <v>10</v>
      </c>
    </row>
    <row r="106" spans="2:3" x14ac:dyDescent="0.3">
      <c r="B106" s="21">
        <v>8</v>
      </c>
      <c r="C106" s="22">
        <v>11</v>
      </c>
    </row>
    <row r="107" spans="2:3" x14ac:dyDescent="0.3">
      <c r="B107" s="21">
        <v>6</v>
      </c>
      <c r="C107" s="22">
        <v>6</v>
      </c>
    </row>
    <row r="108" spans="2:3" x14ac:dyDescent="0.3">
      <c r="B108" s="21">
        <v>10</v>
      </c>
      <c r="C108" s="22">
        <v>6</v>
      </c>
    </row>
    <row r="109" spans="2:3" x14ac:dyDescent="0.3">
      <c r="B109" s="21">
        <v>4</v>
      </c>
      <c r="C109" s="22">
        <v>5</v>
      </c>
    </row>
    <row r="110" spans="2:3" x14ac:dyDescent="0.3">
      <c r="B110" s="21">
        <v>11</v>
      </c>
      <c r="C110" s="22">
        <v>5</v>
      </c>
    </row>
    <row r="111" spans="2:3" x14ac:dyDescent="0.3">
      <c r="B111" s="21">
        <v>4</v>
      </c>
      <c r="C111" s="22">
        <v>14</v>
      </c>
    </row>
    <row r="112" spans="2:3" x14ac:dyDescent="0.3">
      <c r="B112" s="21">
        <v>8</v>
      </c>
      <c r="C112" s="22">
        <v>11</v>
      </c>
    </row>
    <row r="113" spans="2:3" x14ac:dyDescent="0.3">
      <c r="B113" s="21">
        <v>9</v>
      </c>
      <c r="C113" s="22">
        <v>9</v>
      </c>
    </row>
    <row r="114" spans="2:3" x14ac:dyDescent="0.3">
      <c r="B114" s="21">
        <v>3</v>
      </c>
      <c r="C114" s="22">
        <v>19</v>
      </c>
    </row>
    <row r="115" spans="2:3" x14ac:dyDescent="0.3">
      <c r="B115" s="21">
        <v>12</v>
      </c>
      <c r="C115" s="22">
        <v>7</v>
      </c>
    </row>
    <row r="116" spans="2:3" x14ac:dyDescent="0.3">
      <c r="B116" s="21">
        <v>3</v>
      </c>
      <c r="C116" s="22">
        <v>8</v>
      </c>
    </row>
    <row r="117" spans="2:3" x14ac:dyDescent="0.3">
      <c r="B117" s="21">
        <v>14</v>
      </c>
      <c r="C117" s="22">
        <v>20</v>
      </c>
    </row>
    <row r="118" spans="2:3" x14ac:dyDescent="0.3">
      <c r="B118" s="21">
        <v>8</v>
      </c>
      <c r="C118" s="22">
        <v>13</v>
      </c>
    </row>
    <row r="119" spans="2:3" x14ac:dyDescent="0.3">
      <c r="B119" s="21">
        <v>3</v>
      </c>
      <c r="C119" s="22">
        <v>13</v>
      </c>
    </row>
    <row r="120" spans="2:3" x14ac:dyDescent="0.3">
      <c r="B120" s="21">
        <v>4</v>
      </c>
      <c r="C120" s="22">
        <v>8</v>
      </c>
    </row>
    <row r="121" spans="2:3" x14ac:dyDescent="0.3">
      <c r="B121" s="21">
        <v>5</v>
      </c>
      <c r="C121" s="22">
        <v>11</v>
      </c>
    </row>
    <row r="122" spans="2:3" x14ac:dyDescent="0.3">
      <c r="B122" s="21">
        <v>9</v>
      </c>
      <c r="C122" s="22">
        <v>10</v>
      </c>
    </row>
    <row r="123" spans="2:3" x14ac:dyDescent="0.3">
      <c r="B123" s="21">
        <v>14</v>
      </c>
      <c r="C123" s="22">
        <v>4</v>
      </c>
    </row>
    <row r="124" spans="2:3" x14ac:dyDescent="0.3">
      <c r="B124" s="21">
        <v>5</v>
      </c>
      <c r="C124" s="22">
        <v>13</v>
      </c>
    </row>
    <row r="125" spans="2:3" x14ac:dyDescent="0.3">
      <c r="B125" s="21">
        <v>6</v>
      </c>
      <c r="C125" s="22">
        <v>12</v>
      </c>
    </row>
    <row r="126" spans="2:3" x14ac:dyDescent="0.3">
      <c r="B126" s="21">
        <v>9</v>
      </c>
      <c r="C126" s="22">
        <v>3</v>
      </c>
    </row>
    <row r="127" spans="2:3" x14ac:dyDescent="0.3">
      <c r="B127" s="21">
        <v>8</v>
      </c>
      <c r="C127" s="22">
        <v>15</v>
      </c>
    </row>
    <row r="128" spans="2:3" x14ac:dyDescent="0.3">
      <c r="B128" s="21">
        <v>12</v>
      </c>
      <c r="C128" s="22">
        <v>5</v>
      </c>
    </row>
    <row r="129" spans="2:3" x14ac:dyDescent="0.3">
      <c r="B129" s="21">
        <v>5</v>
      </c>
      <c r="C129" s="22">
        <v>12</v>
      </c>
    </row>
    <row r="130" spans="2:3" x14ac:dyDescent="0.3">
      <c r="B130" s="21">
        <v>7</v>
      </c>
      <c r="C130" s="22">
        <v>8</v>
      </c>
    </row>
    <row r="131" spans="2:3" x14ac:dyDescent="0.3">
      <c r="B131" s="21">
        <v>4</v>
      </c>
      <c r="C131" s="22">
        <v>14</v>
      </c>
    </row>
    <row r="132" spans="2:3" x14ac:dyDescent="0.3">
      <c r="B132" s="21">
        <v>14</v>
      </c>
      <c r="C132" s="22">
        <v>4</v>
      </c>
    </row>
    <row r="133" spans="2:3" x14ac:dyDescent="0.3">
      <c r="B133" s="21">
        <v>14</v>
      </c>
      <c r="C133" s="22">
        <v>6</v>
      </c>
    </row>
    <row r="134" spans="2:3" x14ac:dyDescent="0.3">
      <c r="B134" s="21">
        <v>7</v>
      </c>
      <c r="C134" s="22">
        <v>12</v>
      </c>
    </row>
    <row r="135" spans="2:3" x14ac:dyDescent="0.3">
      <c r="B135" s="21">
        <v>13</v>
      </c>
      <c r="C135" s="22">
        <v>13</v>
      </c>
    </row>
    <row r="136" spans="2:3" x14ac:dyDescent="0.3">
      <c r="B136" s="21">
        <v>13</v>
      </c>
      <c r="C136" s="22">
        <v>7</v>
      </c>
    </row>
    <row r="137" spans="2:3" x14ac:dyDescent="0.3">
      <c r="B137" s="21">
        <v>10</v>
      </c>
      <c r="C137" s="22">
        <v>12</v>
      </c>
    </row>
    <row r="138" spans="2:3" x14ac:dyDescent="0.3">
      <c r="B138" s="21">
        <v>7</v>
      </c>
      <c r="C138" s="22">
        <v>12</v>
      </c>
    </row>
    <row r="139" spans="2:3" x14ac:dyDescent="0.3">
      <c r="B139" s="21">
        <v>8</v>
      </c>
      <c r="C139" s="22">
        <v>11</v>
      </c>
    </row>
    <row r="140" spans="2:3" x14ac:dyDescent="0.3">
      <c r="B140" s="21">
        <v>12</v>
      </c>
      <c r="C140" s="22">
        <v>13</v>
      </c>
    </row>
    <row r="141" spans="2:3" x14ac:dyDescent="0.3">
      <c r="B141" s="21">
        <v>10</v>
      </c>
      <c r="C141" s="22">
        <v>9</v>
      </c>
    </row>
    <row r="142" spans="2:3" x14ac:dyDescent="0.3">
      <c r="B142" s="21">
        <v>4</v>
      </c>
      <c r="C142" s="22">
        <v>7</v>
      </c>
    </row>
    <row r="143" spans="2:3" x14ac:dyDescent="0.3">
      <c r="B143" s="21">
        <v>12</v>
      </c>
      <c r="C143" s="22">
        <v>8</v>
      </c>
    </row>
    <row r="144" spans="2:3" x14ac:dyDescent="0.3">
      <c r="B144" s="21">
        <v>7</v>
      </c>
      <c r="C144" s="22">
        <v>12</v>
      </c>
    </row>
    <row r="145" spans="2:3" x14ac:dyDescent="0.3">
      <c r="B145" s="21">
        <v>12</v>
      </c>
      <c r="C145" s="22">
        <v>12</v>
      </c>
    </row>
    <row r="146" spans="2:3" x14ac:dyDescent="0.3">
      <c r="B146" s="21">
        <v>13</v>
      </c>
      <c r="C146" s="22">
        <v>10</v>
      </c>
    </row>
    <row r="147" spans="2:3" x14ac:dyDescent="0.3">
      <c r="B147" s="21">
        <v>7</v>
      </c>
      <c r="C147" s="22">
        <v>3</v>
      </c>
    </row>
    <row r="148" spans="2:3" x14ac:dyDescent="0.3">
      <c r="B148" s="21">
        <v>14</v>
      </c>
      <c r="C148" s="22">
        <v>20</v>
      </c>
    </row>
    <row r="149" spans="2:3" x14ac:dyDescent="0.3">
      <c r="B149" s="21">
        <v>6</v>
      </c>
      <c r="C149" s="22">
        <v>9</v>
      </c>
    </row>
    <row r="150" spans="2:3" x14ac:dyDescent="0.3">
      <c r="B150" s="21">
        <v>11</v>
      </c>
      <c r="C150" s="22">
        <v>3</v>
      </c>
    </row>
    <row r="151" spans="2:3" x14ac:dyDescent="0.3">
      <c r="B151" s="21">
        <v>4</v>
      </c>
      <c r="C151" s="22">
        <v>7</v>
      </c>
    </row>
    <row r="152" spans="2:3" x14ac:dyDescent="0.3">
      <c r="B152" s="21">
        <v>6</v>
      </c>
      <c r="C152" s="22">
        <v>9</v>
      </c>
    </row>
    <row r="153" spans="2:3" x14ac:dyDescent="0.3">
      <c r="B153" s="21">
        <v>7</v>
      </c>
      <c r="C153" s="22">
        <v>13</v>
      </c>
    </row>
    <row r="154" spans="2:3" x14ac:dyDescent="0.3">
      <c r="B154" s="21">
        <v>10</v>
      </c>
      <c r="C154" s="22">
        <v>13</v>
      </c>
    </row>
    <row r="155" spans="2:3" x14ac:dyDescent="0.3">
      <c r="B155" s="21">
        <v>8</v>
      </c>
      <c r="C155" s="22">
        <v>8</v>
      </c>
    </row>
    <row r="156" spans="2:3" x14ac:dyDescent="0.3">
      <c r="B156" s="21">
        <v>3</v>
      </c>
      <c r="C156" s="22">
        <v>13</v>
      </c>
    </row>
    <row r="157" spans="2:3" x14ac:dyDescent="0.3">
      <c r="B157" s="21">
        <v>5</v>
      </c>
      <c r="C157" s="22">
        <v>13</v>
      </c>
    </row>
    <row r="158" spans="2:3" x14ac:dyDescent="0.3">
      <c r="B158" s="21">
        <v>10</v>
      </c>
      <c r="C158" s="22">
        <v>14</v>
      </c>
    </row>
    <row r="159" spans="2:3" x14ac:dyDescent="0.3">
      <c r="B159" s="21">
        <v>13</v>
      </c>
      <c r="C159" s="22">
        <v>11</v>
      </c>
    </row>
    <row r="160" spans="2:3" x14ac:dyDescent="0.3">
      <c r="B160" s="21">
        <v>3</v>
      </c>
      <c r="C160" s="22">
        <v>6</v>
      </c>
    </row>
    <row r="161" spans="2:3" x14ac:dyDescent="0.3">
      <c r="B161" s="21">
        <v>14</v>
      </c>
      <c r="C161" s="22">
        <v>4</v>
      </c>
    </row>
    <row r="162" spans="2:3" x14ac:dyDescent="0.3">
      <c r="B162" s="21">
        <v>13</v>
      </c>
      <c r="C162" s="22">
        <v>6</v>
      </c>
    </row>
    <row r="163" spans="2:3" x14ac:dyDescent="0.3">
      <c r="B163" s="21">
        <v>11</v>
      </c>
      <c r="C163" s="22">
        <v>3</v>
      </c>
    </row>
    <row r="164" spans="2:3" x14ac:dyDescent="0.3">
      <c r="B164" s="21">
        <v>13</v>
      </c>
      <c r="C164" s="22">
        <v>22</v>
      </c>
    </row>
    <row r="165" spans="2:3" x14ac:dyDescent="0.3">
      <c r="B165" s="21">
        <v>9</v>
      </c>
      <c r="C165" s="22">
        <v>8</v>
      </c>
    </row>
    <row r="166" spans="2:3" x14ac:dyDescent="0.3">
      <c r="B166" s="21">
        <v>9</v>
      </c>
      <c r="C166" s="22">
        <v>13</v>
      </c>
    </row>
    <row r="167" spans="2:3" x14ac:dyDescent="0.3">
      <c r="B167" s="21">
        <v>5</v>
      </c>
      <c r="C167" s="22">
        <v>8</v>
      </c>
    </row>
    <row r="168" spans="2:3" x14ac:dyDescent="0.3">
      <c r="B168" s="21">
        <v>9</v>
      </c>
      <c r="C168" s="22">
        <v>5</v>
      </c>
    </row>
    <row r="169" spans="2:3" x14ac:dyDescent="0.3">
      <c r="B169" s="21">
        <v>8</v>
      </c>
      <c r="C169" s="22">
        <v>10</v>
      </c>
    </row>
    <row r="170" spans="2:3" x14ac:dyDescent="0.3">
      <c r="B170" s="21">
        <v>10</v>
      </c>
      <c r="C170" s="22">
        <v>12</v>
      </c>
    </row>
    <row r="171" spans="2:3" x14ac:dyDescent="0.3">
      <c r="B171" s="21">
        <v>14</v>
      </c>
      <c r="C171" s="22">
        <v>4</v>
      </c>
    </row>
    <row r="172" spans="2:3" x14ac:dyDescent="0.3">
      <c r="B172" s="21">
        <v>10</v>
      </c>
      <c r="C172" s="22">
        <v>12</v>
      </c>
    </row>
    <row r="173" spans="2:3" x14ac:dyDescent="0.3">
      <c r="B173" s="21">
        <v>13</v>
      </c>
      <c r="C173" s="22">
        <v>14</v>
      </c>
    </row>
    <row r="174" spans="2:3" x14ac:dyDescent="0.3">
      <c r="B174" s="21">
        <v>9</v>
      </c>
      <c r="C174" s="22">
        <v>4</v>
      </c>
    </row>
    <row r="175" spans="2:3" x14ac:dyDescent="0.3">
      <c r="B175" s="21">
        <v>4</v>
      </c>
      <c r="C175" s="22">
        <v>13</v>
      </c>
    </row>
    <row r="176" spans="2:3" x14ac:dyDescent="0.3">
      <c r="B176" s="21">
        <v>4</v>
      </c>
      <c r="C176" s="22">
        <v>4</v>
      </c>
    </row>
    <row r="177" spans="2:3" x14ac:dyDescent="0.3">
      <c r="B177" s="21">
        <v>9</v>
      </c>
      <c r="C177" s="22">
        <v>7</v>
      </c>
    </row>
    <row r="178" spans="2:3" x14ac:dyDescent="0.3">
      <c r="B178" s="21">
        <v>7</v>
      </c>
      <c r="C178" s="22">
        <v>11</v>
      </c>
    </row>
    <row r="179" spans="2:3" x14ac:dyDescent="0.3">
      <c r="B179" s="21">
        <v>13</v>
      </c>
      <c r="C179" s="22">
        <v>6</v>
      </c>
    </row>
    <row r="180" spans="2:3" x14ac:dyDescent="0.3">
      <c r="B180" s="21">
        <v>11</v>
      </c>
      <c r="C180" s="22">
        <v>6</v>
      </c>
    </row>
    <row r="181" spans="2:3" x14ac:dyDescent="0.3">
      <c r="B181" s="21">
        <v>6</v>
      </c>
      <c r="C181" s="22">
        <v>12</v>
      </c>
    </row>
    <row r="182" spans="2:3" x14ac:dyDescent="0.3">
      <c r="B182" s="21">
        <v>13</v>
      </c>
      <c r="C182" s="22">
        <v>7</v>
      </c>
    </row>
    <row r="183" spans="2:3" x14ac:dyDescent="0.3">
      <c r="B183" s="21">
        <v>5</v>
      </c>
      <c r="C183" s="22">
        <v>3</v>
      </c>
    </row>
    <row r="184" spans="2:3" x14ac:dyDescent="0.3">
      <c r="B184" s="21">
        <v>4</v>
      </c>
      <c r="C184" s="22">
        <v>4</v>
      </c>
    </row>
    <row r="185" spans="2:3" x14ac:dyDescent="0.3">
      <c r="B185" s="21">
        <v>3</v>
      </c>
      <c r="C185" s="22">
        <v>3</v>
      </c>
    </row>
    <row r="186" spans="2:3" x14ac:dyDescent="0.3">
      <c r="B186" s="21">
        <v>13</v>
      </c>
      <c r="C186" s="22">
        <v>14</v>
      </c>
    </row>
    <row r="187" spans="2:3" x14ac:dyDescent="0.3">
      <c r="B187" s="21">
        <v>6</v>
      </c>
      <c r="C187" s="22">
        <v>14</v>
      </c>
    </row>
    <row r="188" spans="2:3" x14ac:dyDescent="0.3">
      <c r="B188" s="21">
        <v>4</v>
      </c>
      <c r="C188" s="22">
        <v>7</v>
      </c>
    </row>
    <row r="189" spans="2:3" x14ac:dyDescent="0.3">
      <c r="B189" s="21">
        <v>14</v>
      </c>
      <c r="C189" s="22">
        <v>13</v>
      </c>
    </row>
    <row r="190" spans="2:3" x14ac:dyDescent="0.3">
      <c r="B190" s="21">
        <v>10</v>
      </c>
      <c r="C190" s="22">
        <v>10</v>
      </c>
    </row>
    <row r="191" spans="2:3" x14ac:dyDescent="0.3">
      <c r="B191" s="21">
        <v>3</v>
      </c>
      <c r="C191" s="22">
        <v>4</v>
      </c>
    </row>
    <row r="192" spans="2:3" x14ac:dyDescent="0.3">
      <c r="B192" s="21">
        <v>13</v>
      </c>
      <c r="C192" s="22">
        <v>11</v>
      </c>
    </row>
    <row r="193" spans="2:3" x14ac:dyDescent="0.3">
      <c r="B193" s="21">
        <v>12</v>
      </c>
      <c r="C193" s="22">
        <v>15</v>
      </c>
    </row>
    <row r="194" spans="2:3" x14ac:dyDescent="0.3">
      <c r="B194" s="21">
        <v>5</v>
      </c>
      <c r="C194" s="22">
        <v>6</v>
      </c>
    </row>
    <row r="195" spans="2:3" x14ac:dyDescent="0.3">
      <c r="B195" s="21">
        <v>11</v>
      </c>
      <c r="C195" s="22">
        <v>13</v>
      </c>
    </row>
    <row r="196" spans="2:3" x14ac:dyDescent="0.3">
      <c r="B196" s="21">
        <v>10</v>
      </c>
      <c r="C196" s="22">
        <v>8</v>
      </c>
    </row>
    <row r="197" spans="2:3" x14ac:dyDescent="0.3">
      <c r="B197" s="21">
        <v>6</v>
      </c>
      <c r="C197" s="22">
        <v>11</v>
      </c>
    </row>
    <row r="198" spans="2:3" x14ac:dyDescent="0.3">
      <c r="B198" s="21">
        <v>4</v>
      </c>
      <c r="C198" s="22">
        <v>5</v>
      </c>
    </row>
    <row r="199" spans="2:3" x14ac:dyDescent="0.3">
      <c r="B199" s="21">
        <v>7</v>
      </c>
      <c r="C199" s="22">
        <v>14</v>
      </c>
    </row>
    <row r="200" spans="2:3" x14ac:dyDescent="0.3">
      <c r="B200" s="21">
        <v>9</v>
      </c>
      <c r="C200" s="22">
        <v>5</v>
      </c>
    </row>
    <row r="201" spans="2:3" x14ac:dyDescent="0.3">
      <c r="B201" s="21">
        <v>5</v>
      </c>
      <c r="C201" s="22">
        <v>6</v>
      </c>
    </row>
    <row r="202" spans="2:3" x14ac:dyDescent="0.3">
      <c r="B202" s="21">
        <v>5</v>
      </c>
      <c r="C202" s="22">
        <v>11</v>
      </c>
    </row>
    <row r="203" spans="2:3" x14ac:dyDescent="0.3">
      <c r="B203" s="21">
        <v>6</v>
      </c>
      <c r="C203" s="22">
        <v>15</v>
      </c>
    </row>
    <row r="204" spans="2:3" x14ac:dyDescent="0.3">
      <c r="B204" s="21">
        <v>6</v>
      </c>
      <c r="C204" s="22">
        <v>4</v>
      </c>
    </row>
    <row r="205" spans="2:3" x14ac:dyDescent="0.3">
      <c r="B205" s="21">
        <v>6</v>
      </c>
      <c r="C205" s="22">
        <v>9</v>
      </c>
    </row>
    <row r="206" spans="2:3" x14ac:dyDescent="0.3">
      <c r="B206" s="21">
        <v>6</v>
      </c>
      <c r="C206" s="22">
        <v>10</v>
      </c>
    </row>
    <row r="207" spans="2:3" x14ac:dyDescent="0.3">
      <c r="B207" s="21">
        <v>6</v>
      </c>
      <c r="C207" s="22">
        <v>5</v>
      </c>
    </row>
    <row r="208" spans="2:3" x14ac:dyDescent="0.3">
      <c r="B208" s="21">
        <v>9</v>
      </c>
      <c r="C208" s="22">
        <v>9</v>
      </c>
    </row>
    <row r="209" spans="2:3" x14ac:dyDescent="0.3">
      <c r="B209" s="21">
        <v>9</v>
      </c>
      <c r="C209" s="22">
        <v>6</v>
      </c>
    </row>
    <row r="210" spans="2:3" x14ac:dyDescent="0.3">
      <c r="B210" s="21">
        <v>1</v>
      </c>
      <c r="C210" s="22">
        <v>4</v>
      </c>
    </row>
    <row r="211" spans="2:3" x14ac:dyDescent="0.3">
      <c r="B211" s="21">
        <v>5</v>
      </c>
      <c r="C211" s="22">
        <v>7</v>
      </c>
    </row>
    <row r="212" spans="2:3" x14ac:dyDescent="0.3">
      <c r="B212" s="21">
        <v>4</v>
      </c>
      <c r="C212" s="22">
        <v>6</v>
      </c>
    </row>
    <row r="213" spans="2:3" x14ac:dyDescent="0.3">
      <c r="B213" s="21">
        <v>1</v>
      </c>
      <c r="C213" s="22">
        <v>9</v>
      </c>
    </row>
    <row r="214" spans="2:3" x14ac:dyDescent="0.3">
      <c r="B214" s="21">
        <v>3</v>
      </c>
      <c r="C214" s="22">
        <v>2</v>
      </c>
    </row>
    <row r="215" spans="2:3" x14ac:dyDescent="0.3">
      <c r="B215" s="21">
        <v>8</v>
      </c>
      <c r="C215" s="22">
        <v>10</v>
      </c>
    </row>
    <row r="216" spans="2:3" x14ac:dyDescent="0.3">
      <c r="B216" s="21">
        <v>2</v>
      </c>
      <c r="C216" s="22">
        <v>5</v>
      </c>
    </row>
    <row r="217" spans="2:3" x14ac:dyDescent="0.3">
      <c r="B217" s="21">
        <v>8</v>
      </c>
      <c r="C217" s="22">
        <v>13</v>
      </c>
    </row>
    <row r="218" spans="2:3" x14ac:dyDescent="0.3">
      <c r="B218" s="21">
        <v>5</v>
      </c>
      <c r="C218" s="22">
        <v>15</v>
      </c>
    </row>
    <row r="219" spans="2:3" x14ac:dyDescent="0.3">
      <c r="B219" s="21">
        <v>7</v>
      </c>
      <c r="C219" s="22">
        <v>11</v>
      </c>
    </row>
    <row r="220" spans="2:3" x14ac:dyDescent="0.3">
      <c r="B220" s="21">
        <v>1</v>
      </c>
      <c r="C220" s="22">
        <v>15</v>
      </c>
    </row>
    <row r="221" spans="2:3" x14ac:dyDescent="0.3">
      <c r="B221" s="21">
        <v>7</v>
      </c>
      <c r="C221" s="22">
        <v>3</v>
      </c>
    </row>
    <row r="222" spans="2:3" x14ac:dyDescent="0.3">
      <c r="B222" s="21">
        <v>7</v>
      </c>
      <c r="C222" s="22">
        <v>9</v>
      </c>
    </row>
    <row r="223" spans="2:3" x14ac:dyDescent="0.3">
      <c r="B223" s="21">
        <v>5</v>
      </c>
      <c r="C223" s="22">
        <v>10</v>
      </c>
    </row>
    <row r="224" spans="2:3" x14ac:dyDescent="0.3">
      <c r="B224" s="21">
        <v>5</v>
      </c>
      <c r="C224" s="22">
        <v>7</v>
      </c>
    </row>
    <row r="225" spans="2:3" x14ac:dyDescent="0.3">
      <c r="B225" s="21">
        <v>1</v>
      </c>
      <c r="C225" s="22">
        <v>6</v>
      </c>
    </row>
    <row r="226" spans="2:3" x14ac:dyDescent="0.3">
      <c r="B226" s="21">
        <v>8</v>
      </c>
      <c r="C226" s="22">
        <v>14</v>
      </c>
    </row>
    <row r="227" spans="2:3" x14ac:dyDescent="0.3">
      <c r="B227" s="21">
        <v>8</v>
      </c>
      <c r="C227" s="22">
        <v>8</v>
      </c>
    </row>
    <row r="228" spans="2:3" x14ac:dyDescent="0.3">
      <c r="B228" s="21">
        <v>5</v>
      </c>
      <c r="C228" s="22">
        <v>4</v>
      </c>
    </row>
    <row r="229" spans="2:3" x14ac:dyDescent="0.3">
      <c r="B229" s="21">
        <v>7</v>
      </c>
      <c r="C229" s="22">
        <v>11</v>
      </c>
    </row>
    <row r="230" spans="2:3" x14ac:dyDescent="0.3">
      <c r="B230" s="21">
        <v>5</v>
      </c>
      <c r="C230" s="22">
        <v>9</v>
      </c>
    </row>
    <row r="231" spans="2:3" x14ac:dyDescent="0.3">
      <c r="B231" s="21">
        <v>2</v>
      </c>
      <c r="C231" s="22">
        <v>4</v>
      </c>
    </row>
    <row r="232" spans="2:3" x14ac:dyDescent="0.3">
      <c r="B232" s="21">
        <v>9</v>
      </c>
      <c r="C232" s="22">
        <v>7</v>
      </c>
    </row>
    <row r="233" spans="2:3" x14ac:dyDescent="0.3">
      <c r="B233" s="21">
        <v>11</v>
      </c>
      <c r="C233" s="22">
        <v>7</v>
      </c>
    </row>
    <row r="234" spans="2:3" x14ac:dyDescent="0.3">
      <c r="B234" s="21">
        <v>3</v>
      </c>
      <c r="C234" s="22">
        <v>7</v>
      </c>
    </row>
    <row r="235" spans="2:3" x14ac:dyDescent="0.3">
      <c r="B235" s="21">
        <v>2</v>
      </c>
      <c r="C235" s="22">
        <v>15</v>
      </c>
    </row>
    <row r="236" spans="2:3" x14ac:dyDescent="0.3">
      <c r="B236" s="21">
        <v>1</v>
      </c>
      <c r="C236" s="22">
        <v>6</v>
      </c>
    </row>
    <row r="237" spans="2:3" x14ac:dyDescent="0.3">
      <c r="B237" s="21">
        <v>3</v>
      </c>
      <c r="C237" s="22">
        <v>2</v>
      </c>
    </row>
    <row r="238" spans="2:3" x14ac:dyDescent="0.3">
      <c r="B238" s="21">
        <v>5</v>
      </c>
      <c r="C238" s="22">
        <v>10</v>
      </c>
    </row>
    <row r="239" spans="2:3" x14ac:dyDescent="0.3">
      <c r="B239" s="21">
        <v>9</v>
      </c>
      <c r="C239" s="22">
        <v>4</v>
      </c>
    </row>
    <row r="240" spans="2:3" x14ac:dyDescent="0.3">
      <c r="B240" s="21">
        <v>7</v>
      </c>
      <c r="C240" s="22">
        <v>11</v>
      </c>
    </row>
    <row r="241" spans="2:3" x14ac:dyDescent="0.3">
      <c r="B241" s="21">
        <v>7</v>
      </c>
      <c r="C241" s="22">
        <v>11</v>
      </c>
    </row>
    <row r="242" spans="2:3" x14ac:dyDescent="0.3">
      <c r="B242" s="21">
        <v>10</v>
      </c>
      <c r="C242" s="22">
        <v>6</v>
      </c>
    </row>
    <row r="243" spans="2:3" x14ac:dyDescent="0.3">
      <c r="B243" s="21">
        <v>1</v>
      </c>
      <c r="C243" s="22">
        <v>8</v>
      </c>
    </row>
    <row r="244" spans="2:3" x14ac:dyDescent="0.3">
      <c r="B244" s="21">
        <v>2</v>
      </c>
      <c r="C244" s="22">
        <v>13</v>
      </c>
    </row>
    <row r="245" spans="2:3" x14ac:dyDescent="0.3">
      <c r="B245" s="21">
        <v>9</v>
      </c>
      <c r="C245" s="22">
        <v>2</v>
      </c>
    </row>
    <row r="246" spans="2:3" x14ac:dyDescent="0.3">
      <c r="B246" s="21">
        <v>7</v>
      </c>
      <c r="C246" s="22">
        <v>13</v>
      </c>
    </row>
    <row r="247" spans="2:3" x14ac:dyDescent="0.3">
      <c r="B247" s="21">
        <v>1</v>
      </c>
      <c r="C247" s="22">
        <v>13</v>
      </c>
    </row>
    <row r="248" spans="2:3" x14ac:dyDescent="0.3">
      <c r="B248" s="21">
        <v>8</v>
      </c>
      <c r="C248" s="22">
        <v>7</v>
      </c>
    </row>
    <row r="249" spans="2:3" x14ac:dyDescent="0.3">
      <c r="B249" s="21">
        <v>10</v>
      </c>
      <c r="C249" s="22">
        <v>10</v>
      </c>
    </row>
    <row r="250" spans="2:3" x14ac:dyDescent="0.3">
      <c r="B250" s="21">
        <v>3</v>
      </c>
      <c r="C250" s="22">
        <v>9</v>
      </c>
    </row>
    <row r="251" spans="2:3" x14ac:dyDescent="0.3">
      <c r="B251" s="21">
        <v>7</v>
      </c>
      <c r="C251" s="22">
        <v>3</v>
      </c>
    </row>
    <row r="252" spans="2:3" x14ac:dyDescent="0.3">
      <c r="B252" s="21">
        <v>10</v>
      </c>
      <c r="C252" s="22">
        <v>14</v>
      </c>
    </row>
    <row r="253" spans="2:3" x14ac:dyDescent="0.3">
      <c r="B253" s="21">
        <v>8</v>
      </c>
      <c r="C253" s="22">
        <v>10</v>
      </c>
    </row>
    <row r="254" spans="2:3" x14ac:dyDescent="0.3">
      <c r="B254" s="21">
        <v>10</v>
      </c>
      <c r="C254" s="22">
        <v>13</v>
      </c>
    </row>
    <row r="255" spans="2:3" x14ac:dyDescent="0.3">
      <c r="B255" s="21">
        <v>5</v>
      </c>
      <c r="C255" s="22">
        <v>5</v>
      </c>
    </row>
    <row r="256" spans="2:3" x14ac:dyDescent="0.3">
      <c r="B256" s="21">
        <v>9</v>
      </c>
      <c r="C256" s="22">
        <v>6</v>
      </c>
    </row>
    <row r="257" spans="2:3" x14ac:dyDescent="0.3">
      <c r="B257" s="21">
        <v>1</v>
      </c>
      <c r="C257" s="22">
        <v>6</v>
      </c>
    </row>
    <row r="258" spans="2:3" x14ac:dyDescent="0.3">
      <c r="B258" s="21">
        <v>8</v>
      </c>
      <c r="C258" s="22">
        <v>6</v>
      </c>
    </row>
    <row r="259" spans="2:3" x14ac:dyDescent="0.3">
      <c r="B259" s="21">
        <v>9</v>
      </c>
      <c r="C259" s="22">
        <v>6</v>
      </c>
    </row>
    <row r="260" spans="2:3" x14ac:dyDescent="0.3">
      <c r="B260" s="21">
        <v>9</v>
      </c>
      <c r="C260" s="22">
        <v>7</v>
      </c>
    </row>
    <row r="261" spans="2:3" x14ac:dyDescent="0.3">
      <c r="B261" s="21">
        <v>2</v>
      </c>
      <c r="C261" s="22">
        <v>6</v>
      </c>
    </row>
    <row r="262" spans="2:3" x14ac:dyDescent="0.3">
      <c r="B262" s="21">
        <v>10</v>
      </c>
      <c r="C262" s="22">
        <v>5</v>
      </c>
    </row>
    <row r="263" spans="2:3" x14ac:dyDescent="0.3">
      <c r="B263" s="21">
        <v>7</v>
      </c>
      <c r="C263" s="22">
        <v>6</v>
      </c>
    </row>
    <row r="264" spans="2:3" x14ac:dyDescent="0.3">
      <c r="B264" s="21">
        <v>7</v>
      </c>
      <c r="C264" s="22">
        <v>4</v>
      </c>
    </row>
    <row r="265" spans="2:3" x14ac:dyDescent="0.3">
      <c r="B265" s="21">
        <v>1</v>
      </c>
      <c r="C265" s="22">
        <v>2</v>
      </c>
    </row>
    <row r="266" spans="2:3" x14ac:dyDescent="0.3">
      <c r="B266" s="21">
        <v>10</v>
      </c>
      <c r="C266" s="22">
        <v>6</v>
      </c>
    </row>
    <row r="267" spans="2:3" x14ac:dyDescent="0.3">
      <c r="B267" s="21">
        <v>3</v>
      </c>
      <c r="C267" s="22">
        <v>4</v>
      </c>
    </row>
    <row r="268" spans="2:3" x14ac:dyDescent="0.3">
      <c r="B268" s="21">
        <v>6</v>
      </c>
      <c r="C268" s="22">
        <v>12</v>
      </c>
    </row>
    <row r="269" spans="2:3" x14ac:dyDescent="0.3">
      <c r="B269" s="21">
        <v>1</v>
      </c>
      <c r="C269" s="22">
        <v>10</v>
      </c>
    </row>
    <row r="270" spans="2:3" x14ac:dyDescent="0.3">
      <c r="B270" s="21">
        <v>6</v>
      </c>
      <c r="C270" s="22">
        <v>9</v>
      </c>
    </row>
    <row r="271" spans="2:3" x14ac:dyDescent="0.3">
      <c r="B271" s="21">
        <v>4</v>
      </c>
      <c r="C271" s="22">
        <v>7</v>
      </c>
    </row>
    <row r="272" spans="2:3" x14ac:dyDescent="0.3">
      <c r="B272" s="21">
        <v>6</v>
      </c>
      <c r="C272" s="22">
        <v>2</v>
      </c>
    </row>
    <row r="273" spans="2:3" x14ac:dyDescent="0.3">
      <c r="B273" s="21">
        <v>4</v>
      </c>
      <c r="C273" s="22">
        <v>4</v>
      </c>
    </row>
    <row r="274" spans="2:3" x14ac:dyDescent="0.3">
      <c r="B274" s="21">
        <v>6</v>
      </c>
      <c r="C274" s="22">
        <v>9</v>
      </c>
    </row>
    <row r="275" spans="2:3" x14ac:dyDescent="0.3">
      <c r="B275" s="21">
        <v>6</v>
      </c>
      <c r="C275" s="22">
        <v>6</v>
      </c>
    </row>
    <row r="276" spans="2:3" x14ac:dyDescent="0.3">
      <c r="B276" s="21">
        <v>4</v>
      </c>
      <c r="C276" s="22">
        <v>3</v>
      </c>
    </row>
    <row r="277" spans="2:3" x14ac:dyDescent="0.3">
      <c r="B277" s="21">
        <v>7</v>
      </c>
      <c r="C277" s="22">
        <v>7</v>
      </c>
    </row>
    <row r="278" spans="2:3" x14ac:dyDescent="0.3">
      <c r="B278" s="21">
        <v>10</v>
      </c>
      <c r="C278" s="22">
        <v>6</v>
      </c>
    </row>
    <row r="279" spans="2:3" x14ac:dyDescent="0.3">
      <c r="B279" s="21">
        <v>5</v>
      </c>
      <c r="C279" s="22">
        <v>3</v>
      </c>
    </row>
    <row r="280" spans="2:3" x14ac:dyDescent="0.3">
      <c r="B280" s="21">
        <v>3</v>
      </c>
      <c r="C280" s="22">
        <v>9</v>
      </c>
    </row>
    <row r="281" spans="2:3" x14ac:dyDescent="0.3">
      <c r="B281" s="21">
        <v>9</v>
      </c>
      <c r="C281" s="22">
        <v>5</v>
      </c>
    </row>
    <row r="282" spans="2:3" x14ac:dyDescent="0.3">
      <c r="B282" s="21">
        <v>3</v>
      </c>
      <c r="C282" s="22">
        <v>11</v>
      </c>
    </row>
    <row r="283" spans="2:3" x14ac:dyDescent="0.3">
      <c r="B283" s="21">
        <v>4</v>
      </c>
      <c r="C283" s="22">
        <v>6</v>
      </c>
    </row>
    <row r="284" spans="2:3" x14ac:dyDescent="0.3">
      <c r="B284" s="21">
        <v>9</v>
      </c>
      <c r="C284" s="22">
        <v>2</v>
      </c>
    </row>
    <row r="285" spans="2:3" x14ac:dyDescent="0.3">
      <c r="B285" s="21">
        <v>7</v>
      </c>
      <c r="C285" s="22">
        <v>15</v>
      </c>
    </row>
    <row r="286" spans="2:3" x14ac:dyDescent="0.3">
      <c r="B286" s="21">
        <v>3</v>
      </c>
      <c r="C286" s="22">
        <v>4</v>
      </c>
    </row>
    <row r="287" spans="2:3" x14ac:dyDescent="0.3">
      <c r="B287" s="21">
        <v>2</v>
      </c>
      <c r="C287" s="22">
        <v>12</v>
      </c>
    </row>
    <row r="288" spans="2:3" x14ac:dyDescent="0.3">
      <c r="B288" s="21">
        <v>2</v>
      </c>
      <c r="C288" s="22">
        <v>8</v>
      </c>
    </row>
    <row r="289" spans="2:3" x14ac:dyDescent="0.3">
      <c r="B289" s="21">
        <v>6</v>
      </c>
      <c r="C289" s="22">
        <v>6</v>
      </c>
    </row>
    <row r="290" spans="2:3" x14ac:dyDescent="0.3">
      <c r="B290" s="21">
        <v>10</v>
      </c>
      <c r="C290" s="22">
        <v>15</v>
      </c>
    </row>
    <row r="291" spans="2:3" x14ac:dyDescent="0.3">
      <c r="B291" s="21">
        <v>10</v>
      </c>
      <c r="C291" s="22">
        <v>14</v>
      </c>
    </row>
    <row r="292" spans="2:3" x14ac:dyDescent="0.3">
      <c r="B292" s="21">
        <v>6</v>
      </c>
      <c r="C292" s="22">
        <v>3</v>
      </c>
    </row>
    <row r="293" spans="2:3" x14ac:dyDescent="0.3">
      <c r="B293" s="21">
        <v>4</v>
      </c>
      <c r="C293" s="22">
        <v>7</v>
      </c>
    </row>
    <row r="294" spans="2:3" x14ac:dyDescent="0.3">
      <c r="B294" s="21">
        <v>7</v>
      </c>
      <c r="C294" s="22">
        <v>14</v>
      </c>
    </row>
    <row r="295" spans="2:3" x14ac:dyDescent="0.3">
      <c r="B295" s="21">
        <v>4</v>
      </c>
      <c r="C295" s="22">
        <v>9</v>
      </c>
    </row>
    <row r="296" spans="2:3" x14ac:dyDescent="0.3">
      <c r="B296" s="21">
        <v>1</v>
      </c>
      <c r="C296" s="22">
        <v>4</v>
      </c>
    </row>
    <row r="297" spans="2:3" x14ac:dyDescent="0.3">
      <c r="B297" s="21">
        <v>9</v>
      </c>
      <c r="C297" s="22">
        <v>7</v>
      </c>
    </row>
    <row r="298" spans="2:3" x14ac:dyDescent="0.3">
      <c r="B298" s="21">
        <v>3</v>
      </c>
      <c r="C298" s="22">
        <v>14</v>
      </c>
    </row>
    <row r="299" spans="2:3" x14ac:dyDescent="0.3">
      <c r="B299" s="21">
        <v>6</v>
      </c>
      <c r="C299" s="22">
        <v>10</v>
      </c>
    </row>
    <row r="300" spans="2:3" x14ac:dyDescent="0.3">
      <c r="B300" s="21">
        <v>3</v>
      </c>
      <c r="C300" s="22">
        <v>6</v>
      </c>
    </row>
    <row r="301" spans="2:3" x14ac:dyDescent="0.3">
      <c r="B301" s="21">
        <v>4</v>
      </c>
      <c r="C301" s="22">
        <v>4</v>
      </c>
    </row>
    <row r="302" spans="2:3" x14ac:dyDescent="0.3">
      <c r="B302" s="21">
        <v>6</v>
      </c>
      <c r="C302" s="22">
        <v>13</v>
      </c>
    </row>
    <row r="303" spans="2:3" x14ac:dyDescent="0.3">
      <c r="B303" s="21">
        <v>1</v>
      </c>
      <c r="C303" s="22">
        <v>6</v>
      </c>
    </row>
    <row r="304" spans="2:3" x14ac:dyDescent="0.3">
      <c r="B304" s="21">
        <v>1</v>
      </c>
      <c r="C304" s="22">
        <v>6</v>
      </c>
    </row>
    <row r="305" spans="2:3" x14ac:dyDescent="0.3">
      <c r="B305" s="21">
        <v>3</v>
      </c>
      <c r="C305" s="22">
        <v>4</v>
      </c>
    </row>
    <row r="306" spans="2:3" x14ac:dyDescent="0.3">
      <c r="B306" s="21">
        <v>8</v>
      </c>
      <c r="C306" s="22">
        <v>11</v>
      </c>
    </row>
    <row r="307" spans="2:3" x14ac:dyDescent="0.3">
      <c r="B307" s="21">
        <v>1</v>
      </c>
      <c r="C307" s="22">
        <v>8</v>
      </c>
    </row>
    <row r="308" spans="2:3" x14ac:dyDescent="0.3">
      <c r="B308" s="21">
        <v>8</v>
      </c>
      <c r="C308" s="22">
        <v>7</v>
      </c>
    </row>
    <row r="309" spans="2:3" x14ac:dyDescent="0.3">
      <c r="B309" s="21">
        <v>8</v>
      </c>
      <c r="C309" s="22">
        <v>12</v>
      </c>
    </row>
    <row r="310" spans="2:3" x14ac:dyDescent="0.3">
      <c r="B310" s="21">
        <v>6</v>
      </c>
      <c r="C310" s="22">
        <v>8</v>
      </c>
    </row>
    <row r="311" spans="2:3" x14ac:dyDescent="0.3">
      <c r="B311" s="21">
        <v>10</v>
      </c>
      <c r="C311" s="12"/>
    </row>
    <row r="312" spans="2:3" x14ac:dyDescent="0.3">
      <c r="B312" s="21">
        <v>2</v>
      </c>
      <c r="C312" s="12"/>
    </row>
    <row r="313" spans="2:3" x14ac:dyDescent="0.3">
      <c r="B313" s="21">
        <v>6</v>
      </c>
      <c r="C313" s="12"/>
    </row>
    <row r="314" spans="2:3" x14ac:dyDescent="0.3">
      <c r="B314" s="21">
        <v>10</v>
      </c>
      <c r="C314" s="12"/>
    </row>
    <row r="315" spans="2:3" x14ac:dyDescent="0.3">
      <c r="B315" s="21">
        <v>1</v>
      </c>
      <c r="C315" s="12"/>
    </row>
    <row r="316" spans="2:3" x14ac:dyDescent="0.3">
      <c r="B316" s="21">
        <v>3</v>
      </c>
      <c r="C316" s="12"/>
    </row>
    <row r="317" spans="2:3" x14ac:dyDescent="0.3">
      <c r="B317" s="21">
        <v>1</v>
      </c>
      <c r="C317" s="12"/>
    </row>
    <row r="318" spans="2:3" x14ac:dyDescent="0.3">
      <c r="B318" s="21">
        <v>1</v>
      </c>
      <c r="C318" s="12"/>
    </row>
    <row r="319" spans="2:3" x14ac:dyDescent="0.3">
      <c r="B319" s="21">
        <v>2</v>
      </c>
      <c r="C319" s="12"/>
    </row>
    <row r="320" spans="2:3" x14ac:dyDescent="0.3">
      <c r="B320" s="21">
        <v>1</v>
      </c>
      <c r="C320" s="12"/>
    </row>
    <row r="321" spans="2:3" x14ac:dyDescent="0.3">
      <c r="B321" s="21">
        <v>8</v>
      </c>
      <c r="C321" s="12"/>
    </row>
    <row r="322" spans="2:3" x14ac:dyDescent="0.3">
      <c r="B322" s="21">
        <v>10</v>
      </c>
      <c r="C322" s="12"/>
    </row>
    <row r="323" spans="2:3" x14ac:dyDescent="0.3">
      <c r="B323" s="21">
        <v>10</v>
      </c>
      <c r="C323" s="12"/>
    </row>
    <row r="324" spans="2:3" x14ac:dyDescent="0.3">
      <c r="B324" s="21">
        <v>2</v>
      </c>
      <c r="C324" s="12"/>
    </row>
    <row r="325" spans="2:3" x14ac:dyDescent="0.3">
      <c r="B325" s="21">
        <v>3</v>
      </c>
      <c r="C325" s="12"/>
    </row>
    <row r="326" spans="2:3" x14ac:dyDescent="0.3">
      <c r="B326" s="21">
        <v>7</v>
      </c>
      <c r="C326" s="12"/>
    </row>
    <row r="327" spans="2:3" x14ac:dyDescent="0.3">
      <c r="B327" s="21">
        <v>6</v>
      </c>
      <c r="C327" s="12"/>
    </row>
    <row r="328" spans="2:3" x14ac:dyDescent="0.3">
      <c r="B328" s="21">
        <v>4</v>
      </c>
      <c r="C328" s="12"/>
    </row>
    <row r="329" spans="2:3" ht="15" thickBot="1" x14ac:dyDescent="0.35">
      <c r="B329" s="24">
        <v>5</v>
      </c>
      <c r="C329" s="14"/>
    </row>
  </sheetData>
  <mergeCells count="9">
    <mergeCell ref="B4:M4"/>
    <mergeCell ref="B29:M29"/>
    <mergeCell ref="E57:G57"/>
    <mergeCell ref="B7:C7"/>
    <mergeCell ref="D7:E7"/>
    <mergeCell ref="F7:G7"/>
    <mergeCell ref="H7:I7"/>
    <mergeCell ref="J7:K7"/>
    <mergeCell ref="L7: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999"/>
  <sheetViews>
    <sheetView tabSelected="1" topLeftCell="A542" workbookViewId="0">
      <selection activeCell="A557" sqref="A2:M557"/>
    </sheetView>
  </sheetViews>
  <sheetFormatPr defaultColWidth="14.44140625" defaultRowHeight="15" customHeight="1" x14ac:dyDescent="0.3"/>
  <cols>
    <col min="1" max="1" width="10.21875" bestFit="1" customWidth="1"/>
    <col min="2" max="2" width="11.109375" bestFit="1" customWidth="1"/>
    <col min="3" max="3" width="9.88671875" bestFit="1" customWidth="1"/>
    <col min="4" max="4" width="14" bestFit="1" customWidth="1"/>
    <col min="5" max="5" width="17.33203125" bestFit="1" customWidth="1"/>
    <col min="6" max="6" width="10" customWidth="1"/>
    <col min="7" max="7" width="8.6640625" customWidth="1"/>
    <col min="8" max="8" width="7.109375" bestFit="1" customWidth="1"/>
    <col min="9" max="9" width="14.21875" bestFit="1" customWidth="1"/>
    <col min="10" max="10" width="37" bestFit="1" customWidth="1"/>
    <col min="11" max="11" width="14.77734375" bestFit="1" customWidth="1"/>
    <col min="12" max="12" width="11.21875" bestFit="1" customWidth="1"/>
    <col min="13" max="20" width="8.6640625" customWidth="1"/>
  </cols>
  <sheetData>
    <row r="1" spans="1:12" ht="14.25" customHeight="1" x14ac:dyDescent="0.3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68</v>
      </c>
      <c r="L1" s="6" t="s">
        <v>67</v>
      </c>
    </row>
    <row r="2" spans="1:12" ht="14.25" customHeight="1" x14ac:dyDescent="0.3">
      <c r="A2" s="1">
        <v>4</v>
      </c>
      <c r="B2" s="1">
        <v>238</v>
      </c>
      <c r="C2" s="1" t="s">
        <v>10</v>
      </c>
      <c r="D2" s="1" t="s">
        <v>11</v>
      </c>
      <c r="E2" s="1" t="s">
        <v>12</v>
      </c>
      <c r="F2" t="e">
        <f>TEXT(#REF!,"YYY")</f>
        <v>#REF!</v>
      </c>
      <c r="G2" t="e">
        <f>TEXT(#REF!,"MMM")</f>
        <v>#REF!</v>
      </c>
      <c r="H2" t="e">
        <f>TEXT(#REF!,"DDD")</f>
        <v>#REF!</v>
      </c>
      <c r="I2" t="e">
        <f>DATEDIF(#REF!,#REF!,"D")</f>
        <v>#REF!</v>
      </c>
      <c r="J2" s="7" t="e">
        <f>ROUND(Table2[[#This Row],[Quantity]]*Table2[[#This Row],[Unit Price]]*VLOOKUP(#REF!,Table_1[#All],2,FALSE),0)</f>
        <v>#REF!</v>
      </c>
      <c r="K2" s="7">
        <f>Table2[[#This Row],[Quantity]]*Table2[[#This Row],[Unit Price]]</f>
        <v>952</v>
      </c>
      <c r="L2" s="7" t="e">
        <f>Table2[[#This Row],[Sales Revenue]]-Table2[[#This Row],[Total Cost After Product Percentage Calc]]</f>
        <v>#REF!</v>
      </c>
    </row>
    <row r="3" spans="1:12" ht="14.25" customHeight="1" x14ac:dyDescent="0.3">
      <c r="A3" s="1">
        <v>7</v>
      </c>
      <c r="B3" s="1">
        <v>42</v>
      </c>
      <c r="C3" s="1" t="s">
        <v>10</v>
      </c>
      <c r="D3" s="1" t="s">
        <v>11</v>
      </c>
      <c r="E3" s="1" t="s">
        <v>14</v>
      </c>
      <c r="F3" t="e">
        <f>TEXT(#REF!,"YYY")</f>
        <v>#REF!</v>
      </c>
      <c r="G3" t="e">
        <f>TEXT(#REF!,"MMM")</f>
        <v>#REF!</v>
      </c>
      <c r="H3" t="e">
        <f>TEXT(#REF!,"DDD")</f>
        <v>#REF!</v>
      </c>
      <c r="I3" t="e">
        <f>DATEDIF(#REF!,#REF!,"D")</f>
        <v>#REF!</v>
      </c>
      <c r="J3" s="7" t="e">
        <f>ROUND(Table2[[#This Row],[Quantity]]*Table2[[#This Row],[Unit Price]]*VLOOKUP(#REF!,Table_1[#All],2,FALSE),0)</f>
        <v>#REF!</v>
      </c>
      <c r="K3" s="7">
        <f>Table2[[#This Row],[Quantity]]*Table2[[#This Row],[Unit Price]]</f>
        <v>294</v>
      </c>
      <c r="L3" s="7" t="e">
        <f>Table2[[#This Row],[Sales Revenue]]-Table2[[#This Row],[Total Cost After Product Percentage Calc]]</f>
        <v>#REF!</v>
      </c>
    </row>
    <row r="4" spans="1:12" ht="14.25" customHeight="1" x14ac:dyDescent="0.3">
      <c r="A4" s="1">
        <v>5</v>
      </c>
      <c r="B4" s="1">
        <v>838</v>
      </c>
      <c r="C4" s="1" t="s">
        <v>10</v>
      </c>
      <c r="D4" s="1" t="s">
        <v>16</v>
      </c>
      <c r="E4" s="1" t="s">
        <v>14</v>
      </c>
      <c r="F4" t="e">
        <f>TEXT(#REF!,"YYY")</f>
        <v>#REF!</v>
      </c>
      <c r="G4" t="e">
        <f>TEXT(#REF!,"MMM")</f>
        <v>#REF!</v>
      </c>
      <c r="H4" t="e">
        <f>TEXT(#REF!,"DDD")</f>
        <v>#REF!</v>
      </c>
      <c r="I4" t="e">
        <f>DATEDIF(#REF!,#REF!,"D")</f>
        <v>#REF!</v>
      </c>
      <c r="J4" s="7" t="e">
        <f>ROUND(Table2[[#This Row],[Quantity]]*Table2[[#This Row],[Unit Price]]*VLOOKUP(#REF!,Table_1[#All],2,FALSE),0)</f>
        <v>#REF!</v>
      </c>
      <c r="K4" s="7">
        <f>Table2[[#This Row],[Quantity]]*Table2[[#This Row],[Unit Price]]</f>
        <v>4190</v>
      </c>
      <c r="L4" s="7" t="e">
        <f>Table2[[#This Row],[Sales Revenue]]-Table2[[#This Row],[Total Cost After Product Percentage Calc]]</f>
        <v>#REF!</v>
      </c>
    </row>
    <row r="5" spans="1:12" ht="14.25" customHeight="1" x14ac:dyDescent="0.3">
      <c r="A5" s="1">
        <v>3</v>
      </c>
      <c r="B5" s="1">
        <v>230</v>
      </c>
      <c r="C5" s="1" t="s">
        <v>10</v>
      </c>
      <c r="D5" s="1" t="s">
        <v>16</v>
      </c>
      <c r="E5" s="1" t="s">
        <v>14</v>
      </c>
      <c r="F5" t="e">
        <f>TEXT(#REF!,"YYY")</f>
        <v>#REF!</v>
      </c>
      <c r="G5" t="e">
        <f>TEXT(#REF!,"MMM")</f>
        <v>#REF!</v>
      </c>
      <c r="H5" t="e">
        <f>TEXT(#REF!,"DDD")</f>
        <v>#REF!</v>
      </c>
      <c r="I5" t="e">
        <f>DATEDIF(#REF!,#REF!,"D")</f>
        <v>#REF!</v>
      </c>
      <c r="J5" s="7" t="e">
        <f>ROUND(Table2[[#This Row],[Quantity]]*Table2[[#This Row],[Unit Price]]*VLOOKUP(#REF!,Table_1[#All],2,FALSE),0)</f>
        <v>#REF!</v>
      </c>
      <c r="K5" s="7">
        <f>Table2[[#This Row],[Quantity]]*Table2[[#This Row],[Unit Price]]</f>
        <v>690</v>
      </c>
      <c r="L5" s="7" t="e">
        <f>Table2[[#This Row],[Sales Revenue]]-Table2[[#This Row],[Total Cost After Product Percentage Calc]]</f>
        <v>#REF!</v>
      </c>
    </row>
    <row r="6" spans="1:12" ht="14.25" customHeight="1" x14ac:dyDescent="0.3">
      <c r="A6" s="1">
        <v>2</v>
      </c>
      <c r="B6" s="1">
        <v>954</v>
      </c>
      <c r="C6" s="1" t="s">
        <v>20</v>
      </c>
      <c r="D6" s="1" t="s">
        <v>21</v>
      </c>
      <c r="E6" s="1" t="s">
        <v>22</v>
      </c>
      <c r="F6" t="e">
        <f>TEXT(#REF!,"YYY")</f>
        <v>#REF!</v>
      </c>
      <c r="G6" t="e">
        <f>TEXT(#REF!,"MMM")</f>
        <v>#REF!</v>
      </c>
      <c r="H6" t="e">
        <f>TEXT(#REF!,"DDD")</f>
        <v>#REF!</v>
      </c>
      <c r="I6" t="e">
        <f>DATEDIF(#REF!,#REF!,"D")</f>
        <v>#REF!</v>
      </c>
      <c r="J6" s="7" t="e">
        <f>ROUND(Table2[[#This Row],[Quantity]]*Table2[[#This Row],[Unit Price]]*VLOOKUP(#REF!,Table_1[#All],2,FALSE),0)</f>
        <v>#REF!</v>
      </c>
      <c r="K6" s="7">
        <f>Table2[[#This Row],[Quantity]]*Table2[[#This Row],[Unit Price]]</f>
        <v>1908</v>
      </c>
      <c r="L6" s="7" t="e">
        <f>Table2[[#This Row],[Sales Revenue]]-Table2[[#This Row],[Total Cost After Product Percentage Calc]]</f>
        <v>#REF!</v>
      </c>
    </row>
    <row r="7" spans="1:12" ht="14.25" customHeight="1" x14ac:dyDescent="0.3">
      <c r="A7" s="1">
        <v>10</v>
      </c>
      <c r="B7" s="1">
        <v>206</v>
      </c>
      <c r="C7" s="1" t="s">
        <v>10</v>
      </c>
      <c r="D7" s="1" t="s">
        <v>24</v>
      </c>
      <c r="E7" s="1" t="s">
        <v>22</v>
      </c>
      <c r="F7" t="e">
        <f>TEXT(#REF!,"YYY")</f>
        <v>#REF!</v>
      </c>
      <c r="G7" t="e">
        <f>TEXT(#REF!,"MMM")</f>
        <v>#REF!</v>
      </c>
      <c r="H7" t="e">
        <f>TEXT(#REF!,"DDD")</f>
        <v>#REF!</v>
      </c>
      <c r="I7" t="e">
        <f>DATEDIF(#REF!,#REF!,"D")</f>
        <v>#REF!</v>
      </c>
      <c r="J7" s="7" t="e">
        <f>ROUND(Table2[[#This Row],[Quantity]]*Table2[[#This Row],[Unit Price]]*VLOOKUP(#REF!,Table_1[#All],2,FALSE),0)</f>
        <v>#REF!</v>
      </c>
      <c r="K7" s="7">
        <f>Table2[[#This Row],[Quantity]]*Table2[[#This Row],[Unit Price]]</f>
        <v>2060</v>
      </c>
      <c r="L7" s="7" t="e">
        <f>Table2[[#This Row],[Sales Revenue]]-Table2[[#This Row],[Total Cost After Product Percentage Calc]]</f>
        <v>#REF!</v>
      </c>
    </row>
    <row r="8" spans="1:12" ht="14.25" customHeight="1" thickBot="1" x14ac:dyDescent="0.35">
      <c r="A8" s="1">
        <v>6</v>
      </c>
      <c r="B8" s="1">
        <v>373</v>
      </c>
      <c r="C8" s="1" t="s">
        <v>20</v>
      </c>
      <c r="D8" s="1" t="s">
        <v>11</v>
      </c>
      <c r="E8" s="1" t="s">
        <v>22</v>
      </c>
      <c r="F8" t="e">
        <f>TEXT(#REF!,"YYY")</f>
        <v>#REF!</v>
      </c>
      <c r="G8" t="e">
        <f>TEXT(#REF!,"MMM")</f>
        <v>#REF!</v>
      </c>
      <c r="H8" t="e">
        <f>TEXT(#REF!,"DDD")</f>
        <v>#REF!</v>
      </c>
      <c r="I8" t="e">
        <f>DATEDIF(#REF!,#REF!,"D")</f>
        <v>#REF!</v>
      </c>
      <c r="J8" s="7" t="e">
        <f>ROUND(Table2[[#This Row],[Quantity]]*Table2[[#This Row],[Unit Price]]*VLOOKUP(#REF!,Table_1[#All],2,FALSE),0)</f>
        <v>#REF!</v>
      </c>
      <c r="K8" s="7">
        <f>Table2[[#This Row],[Quantity]]*Table2[[#This Row],[Unit Price]]</f>
        <v>2238</v>
      </c>
      <c r="L8" s="7" t="e">
        <f>Table2[[#This Row],[Sales Revenue]]-Table2[[#This Row],[Total Cost After Product Percentage Calc]]</f>
        <v>#REF!</v>
      </c>
    </row>
    <row r="9" spans="1:12" ht="14.25" customHeight="1" x14ac:dyDescent="0.3">
      <c r="A9" s="1">
        <v>3</v>
      </c>
      <c r="B9" s="1">
        <v>556</v>
      </c>
      <c r="C9" s="1" t="s">
        <v>10</v>
      </c>
      <c r="D9" s="1" t="s">
        <v>24</v>
      </c>
      <c r="E9" s="1" t="s">
        <v>14</v>
      </c>
      <c r="F9" t="e">
        <f>TEXT(#REF!,"YYY")</f>
        <v>#REF!</v>
      </c>
      <c r="G9" t="e">
        <f>TEXT(#REF!,"MMM")</f>
        <v>#REF!</v>
      </c>
      <c r="H9" s="4" t="e">
        <f>TEXT(#REF!,"DDD")</f>
        <v>#REF!</v>
      </c>
      <c r="I9" s="5" t="e">
        <f>DATEDIF(#REF!,#REF!,"D")</f>
        <v>#REF!</v>
      </c>
      <c r="J9" s="7" t="e">
        <f>ROUND(Table2[[#This Row],[Quantity]]*Table2[[#This Row],[Unit Price]]*VLOOKUP(#REF!,Table_1[#All],2,FALSE),0)</f>
        <v>#REF!</v>
      </c>
      <c r="K9" s="7">
        <f>Table2[[#This Row],[Quantity]]*Table2[[#This Row],[Unit Price]]</f>
        <v>1668</v>
      </c>
      <c r="L9" s="7" t="e">
        <f>Table2[[#This Row],[Sales Revenue]]-Table2[[#This Row],[Total Cost After Product Percentage Calc]]</f>
        <v>#REF!</v>
      </c>
    </row>
    <row r="10" spans="1:12" ht="14.25" customHeight="1" x14ac:dyDescent="0.3">
      <c r="A10" s="1">
        <v>9</v>
      </c>
      <c r="B10" s="1">
        <v>234</v>
      </c>
      <c r="C10" s="1" t="s">
        <v>10</v>
      </c>
      <c r="D10" s="1" t="s">
        <v>24</v>
      </c>
      <c r="E10" s="1" t="s">
        <v>14</v>
      </c>
      <c r="F10" t="e">
        <f>TEXT(#REF!,"YYY")</f>
        <v>#REF!</v>
      </c>
      <c r="G10" t="e">
        <f>TEXT(#REF!,"MMM")</f>
        <v>#REF!</v>
      </c>
      <c r="H10" t="e">
        <f>TEXT(#REF!,"DDD")</f>
        <v>#REF!</v>
      </c>
      <c r="I10" t="e">
        <f>DATEDIF(#REF!,#REF!,"D")</f>
        <v>#REF!</v>
      </c>
      <c r="J10" s="7" t="e">
        <f>ROUND(Table2[[#This Row],[Quantity]]*Table2[[#This Row],[Unit Price]]*VLOOKUP(#REF!,Table_1[#All],2,FALSE),0)</f>
        <v>#REF!</v>
      </c>
      <c r="K10" s="7">
        <f>Table2[[#This Row],[Quantity]]*Table2[[#This Row],[Unit Price]]</f>
        <v>2106</v>
      </c>
      <c r="L10" s="7" t="e">
        <f>Table2[[#This Row],[Sales Revenue]]-Table2[[#This Row],[Total Cost After Product Percentage Calc]]</f>
        <v>#REF!</v>
      </c>
    </row>
    <row r="11" spans="1:12" ht="14.25" customHeight="1" x14ac:dyDescent="0.3">
      <c r="A11" s="1">
        <v>7</v>
      </c>
      <c r="B11" s="1">
        <v>284</v>
      </c>
      <c r="C11" s="1" t="s">
        <v>20</v>
      </c>
      <c r="D11" s="1" t="s">
        <v>11</v>
      </c>
      <c r="E11" s="1" t="s">
        <v>14</v>
      </c>
      <c r="F11" t="e">
        <f>TEXT(#REF!,"YYY")</f>
        <v>#REF!</v>
      </c>
      <c r="G11" t="e">
        <f>TEXT(#REF!,"MMM")</f>
        <v>#REF!</v>
      </c>
      <c r="H11" t="e">
        <f>TEXT(#REF!,"DDD")</f>
        <v>#REF!</v>
      </c>
      <c r="I11" t="e">
        <f>DATEDIF(#REF!,#REF!,"D")</f>
        <v>#REF!</v>
      </c>
      <c r="J11" s="7" t="e">
        <f>ROUND(Table2[[#This Row],[Quantity]]*Table2[[#This Row],[Unit Price]]*VLOOKUP(#REF!,Table_1[#All],2,FALSE),0)</f>
        <v>#REF!</v>
      </c>
      <c r="K11" s="7">
        <f>Table2[[#This Row],[Quantity]]*Table2[[#This Row],[Unit Price]]</f>
        <v>1988</v>
      </c>
      <c r="L11" s="7" t="e">
        <f>Table2[[#This Row],[Sales Revenue]]-Table2[[#This Row],[Total Cost After Product Percentage Calc]]</f>
        <v>#REF!</v>
      </c>
    </row>
    <row r="12" spans="1:12" ht="14.25" customHeight="1" x14ac:dyDescent="0.3">
      <c r="A12" s="1">
        <v>8</v>
      </c>
      <c r="B12" s="1">
        <v>415</v>
      </c>
      <c r="C12" s="1" t="s">
        <v>10</v>
      </c>
      <c r="D12" s="1" t="s">
        <v>24</v>
      </c>
      <c r="E12" s="1" t="s">
        <v>22</v>
      </c>
      <c r="F12" t="e">
        <f>TEXT(#REF!,"YYY")</f>
        <v>#REF!</v>
      </c>
      <c r="G12" t="e">
        <f>TEXT(#REF!,"MMM")</f>
        <v>#REF!</v>
      </c>
      <c r="H12" t="e">
        <f>TEXT(#REF!,"DDD")</f>
        <v>#REF!</v>
      </c>
      <c r="I12" t="e">
        <f>DATEDIF(#REF!,#REF!,"D")</f>
        <v>#REF!</v>
      </c>
      <c r="J12" s="7" t="e">
        <f>ROUND(Table2[[#This Row],[Quantity]]*Table2[[#This Row],[Unit Price]]*VLOOKUP(#REF!,Table_1[#All],2,FALSE),0)</f>
        <v>#REF!</v>
      </c>
      <c r="K12" s="7">
        <f>Table2[[#This Row],[Quantity]]*Table2[[#This Row],[Unit Price]]</f>
        <v>3320</v>
      </c>
      <c r="L12" s="7" t="e">
        <f>Table2[[#This Row],[Sales Revenue]]-Table2[[#This Row],[Total Cost After Product Percentage Calc]]</f>
        <v>#REF!</v>
      </c>
    </row>
    <row r="13" spans="1:12" ht="14.25" customHeight="1" x14ac:dyDescent="0.3">
      <c r="A13" s="1">
        <v>4</v>
      </c>
      <c r="B13" s="1">
        <v>151</v>
      </c>
      <c r="C13" s="1" t="s">
        <v>10</v>
      </c>
      <c r="D13" s="1" t="s">
        <v>24</v>
      </c>
      <c r="E13" s="1" t="s">
        <v>14</v>
      </c>
      <c r="F13" t="e">
        <f>TEXT(#REF!,"YYY")</f>
        <v>#REF!</v>
      </c>
      <c r="G13" t="e">
        <f>TEXT(#REF!,"MMM")</f>
        <v>#REF!</v>
      </c>
      <c r="H13" t="e">
        <f>TEXT(#REF!,"DDD")</f>
        <v>#REF!</v>
      </c>
      <c r="I13" t="e">
        <f>DATEDIF(#REF!,#REF!,"D")</f>
        <v>#REF!</v>
      </c>
      <c r="J13" s="7" t="e">
        <f>ROUND(Table2[[#This Row],[Quantity]]*Table2[[#This Row],[Unit Price]]*VLOOKUP(#REF!,Table_1[#All],2,FALSE),0)</f>
        <v>#REF!</v>
      </c>
      <c r="K13" s="7">
        <f>Table2[[#This Row],[Quantity]]*Table2[[#This Row],[Unit Price]]</f>
        <v>604</v>
      </c>
      <c r="L13" s="7" t="e">
        <f>Table2[[#This Row],[Sales Revenue]]-Table2[[#This Row],[Total Cost After Product Percentage Calc]]</f>
        <v>#REF!</v>
      </c>
    </row>
    <row r="14" spans="1:12" ht="14.25" customHeight="1" x14ac:dyDescent="0.3">
      <c r="A14" s="1">
        <v>3</v>
      </c>
      <c r="B14" s="1">
        <v>821</v>
      </c>
      <c r="C14" s="1" t="s">
        <v>20</v>
      </c>
      <c r="D14" s="1" t="s">
        <v>24</v>
      </c>
      <c r="E14" s="1" t="s">
        <v>30</v>
      </c>
      <c r="F14" t="e">
        <f>TEXT(#REF!,"YYY")</f>
        <v>#REF!</v>
      </c>
      <c r="G14" t="e">
        <f>TEXT(#REF!,"MMM")</f>
        <v>#REF!</v>
      </c>
      <c r="H14" t="e">
        <f>TEXT(#REF!,"DDD")</f>
        <v>#REF!</v>
      </c>
      <c r="I14" t="e">
        <f>DATEDIF(#REF!,#REF!,"D")</f>
        <v>#REF!</v>
      </c>
      <c r="J14" s="7" t="e">
        <f>ROUND(Table2[[#This Row],[Quantity]]*Table2[[#This Row],[Unit Price]]*VLOOKUP(#REF!,Table_1[#All],2,FALSE),0)</f>
        <v>#REF!</v>
      </c>
      <c r="K14" s="7">
        <f>Table2[[#This Row],[Quantity]]*Table2[[#This Row],[Unit Price]]</f>
        <v>2463</v>
      </c>
      <c r="L14" s="7" t="e">
        <f>Table2[[#This Row],[Sales Revenue]]-Table2[[#This Row],[Total Cost After Product Percentage Calc]]</f>
        <v>#REF!</v>
      </c>
    </row>
    <row r="15" spans="1:12" ht="14.25" customHeight="1" x14ac:dyDescent="0.3">
      <c r="A15" s="1">
        <v>10</v>
      </c>
      <c r="B15" s="1">
        <v>489</v>
      </c>
      <c r="C15" s="1" t="s">
        <v>20</v>
      </c>
      <c r="D15" s="1" t="s">
        <v>24</v>
      </c>
      <c r="E15" s="1" t="s">
        <v>22</v>
      </c>
      <c r="F15" t="e">
        <f>TEXT(#REF!,"YYY")</f>
        <v>#REF!</v>
      </c>
      <c r="G15" t="e">
        <f>TEXT(#REF!,"MMM")</f>
        <v>#REF!</v>
      </c>
      <c r="H15" t="e">
        <f>TEXT(#REF!,"DDD")</f>
        <v>#REF!</v>
      </c>
      <c r="I15" t="e">
        <f>DATEDIF(#REF!,#REF!,"D")</f>
        <v>#REF!</v>
      </c>
      <c r="J15" s="7" t="e">
        <f>ROUND(Table2[[#This Row],[Quantity]]*Table2[[#This Row],[Unit Price]]*VLOOKUP(#REF!,Table_1[#All],2,FALSE),0)</f>
        <v>#REF!</v>
      </c>
      <c r="K15" s="7">
        <f>Table2[[#This Row],[Quantity]]*Table2[[#This Row],[Unit Price]]</f>
        <v>4890</v>
      </c>
      <c r="L15" s="7" t="e">
        <f>Table2[[#This Row],[Sales Revenue]]-Table2[[#This Row],[Total Cost After Product Percentage Calc]]</f>
        <v>#REF!</v>
      </c>
    </row>
    <row r="16" spans="1:12" ht="14.25" customHeight="1" x14ac:dyDescent="0.3">
      <c r="A16" s="1">
        <v>9</v>
      </c>
      <c r="B16" s="1">
        <v>778</v>
      </c>
      <c r="C16" s="1" t="s">
        <v>10</v>
      </c>
      <c r="D16" s="1" t="s">
        <v>31</v>
      </c>
      <c r="E16" s="1" t="s">
        <v>22</v>
      </c>
      <c r="F16" t="e">
        <f>TEXT(#REF!,"YYY")</f>
        <v>#REF!</v>
      </c>
      <c r="G16" t="e">
        <f>TEXT(#REF!,"MMM")</f>
        <v>#REF!</v>
      </c>
      <c r="H16" t="e">
        <f>TEXT(#REF!,"DDD")</f>
        <v>#REF!</v>
      </c>
      <c r="I16" t="e">
        <f>DATEDIF(#REF!,#REF!,"D")</f>
        <v>#REF!</v>
      </c>
      <c r="J16" s="7" t="e">
        <f>ROUND(Table2[[#This Row],[Quantity]]*Table2[[#This Row],[Unit Price]]*VLOOKUP(#REF!,Table_1[#All],2,FALSE),0)</f>
        <v>#REF!</v>
      </c>
      <c r="K16" s="7">
        <f>Table2[[#This Row],[Quantity]]*Table2[[#This Row],[Unit Price]]</f>
        <v>7002</v>
      </c>
      <c r="L16" s="7" t="e">
        <f>Table2[[#This Row],[Sales Revenue]]-Table2[[#This Row],[Total Cost After Product Percentage Calc]]</f>
        <v>#REF!</v>
      </c>
    </row>
    <row r="17" spans="1:12" ht="14.25" customHeight="1" x14ac:dyDescent="0.3">
      <c r="A17" s="1">
        <v>8</v>
      </c>
      <c r="B17" s="1">
        <v>13</v>
      </c>
      <c r="C17" s="1" t="s">
        <v>20</v>
      </c>
      <c r="D17" s="1" t="s">
        <v>24</v>
      </c>
      <c r="E17" s="1" t="s">
        <v>30</v>
      </c>
      <c r="F17" t="e">
        <f>TEXT(#REF!,"YYY")</f>
        <v>#REF!</v>
      </c>
      <c r="G17" t="e">
        <f>TEXT(#REF!,"MMM")</f>
        <v>#REF!</v>
      </c>
      <c r="H17" t="e">
        <f>TEXT(#REF!,"DDD")</f>
        <v>#REF!</v>
      </c>
      <c r="I17" t="e">
        <f>DATEDIF(#REF!,#REF!,"D")</f>
        <v>#REF!</v>
      </c>
      <c r="J17" s="7" t="e">
        <f>ROUND(Table2[[#This Row],[Quantity]]*Table2[[#This Row],[Unit Price]]*VLOOKUP(#REF!,Table_1[#All],2,FALSE),0)</f>
        <v>#REF!</v>
      </c>
      <c r="K17" s="7">
        <f>Table2[[#This Row],[Quantity]]*Table2[[#This Row],[Unit Price]]</f>
        <v>104</v>
      </c>
      <c r="L17" s="7" t="e">
        <f>Table2[[#This Row],[Sales Revenue]]-Table2[[#This Row],[Total Cost After Product Percentage Calc]]</f>
        <v>#REF!</v>
      </c>
    </row>
    <row r="18" spans="1:12" ht="14.25" customHeight="1" x14ac:dyDescent="0.3">
      <c r="A18" s="1">
        <v>5</v>
      </c>
      <c r="B18" s="1">
        <v>871</v>
      </c>
      <c r="C18" s="1" t="s">
        <v>20</v>
      </c>
      <c r="D18" s="1" t="s">
        <v>24</v>
      </c>
      <c r="E18" s="1" t="s">
        <v>12</v>
      </c>
      <c r="F18" t="e">
        <f>TEXT(#REF!,"YYY")</f>
        <v>#REF!</v>
      </c>
      <c r="G18" t="e">
        <f>TEXT(#REF!,"MMM")</f>
        <v>#REF!</v>
      </c>
      <c r="H18" t="e">
        <f>TEXT(#REF!,"DDD")</f>
        <v>#REF!</v>
      </c>
      <c r="I18" t="e">
        <f>DATEDIF(#REF!,#REF!,"D")</f>
        <v>#REF!</v>
      </c>
      <c r="J18" s="7" t="e">
        <f>ROUND(Table2[[#This Row],[Quantity]]*Table2[[#This Row],[Unit Price]]*VLOOKUP(#REF!,Table_1[#All],2,FALSE),0)</f>
        <v>#REF!</v>
      </c>
      <c r="K18" s="7">
        <f>Table2[[#This Row],[Quantity]]*Table2[[#This Row],[Unit Price]]</f>
        <v>4355</v>
      </c>
      <c r="L18" s="7" t="e">
        <f>Table2[[#This Row],[Sales Revenue]]-Table2[[#This Row],[Total Cost After Product Percentage Calc]]</f>
        <v>#REF!</v>
      </c>
    </row>
    <row r="19" spans="1:12" ht="14.25" customHeight="1" x14ac:dyDescent="0.3">
      <c r="A19" s="1">
        <v>3</v>
      </c>
      <c r="B19" s="1">
        <v>562</v>
      </c>
      <c r="C19" s="1" t="s">
        <v>10</v>
      </c>
      <c r="D19" s="1" t="s">
        <v>16</v>
      </c>
      <c r="E19" s="1" t="s">
        <v>30</v>
      </c>
      <c r="F19" t="e">
        <f>TEXT(#REF!,"YYY")</f>
        <v>#REF!</v>
      </c>
      <c r="G19" t="e">
        <f>TEXT(#REF!,"MMM")</f>
        <v>#REF!</v>
      </c>
      <c r="H19" t="e">
        <f>TEXT(#REF!,"DDD")</f>
        <v>#REF!</v>
      </c>
      <c r="I19" t="e">
        <f>DATEDIF(#REF!,#REF!,"D")</f>
        <v>#REF!</v>
      </c>
      <c r="J19" s="7" t="e">
        <f>ROUND(Table2[[#This Row],[Quantity]]*Table2[[#This Row],[Unit Price]]*VLOOKUP(#REF!,Table_1[#All],2,FALSE),0)</f>
        <v>#REF!</v>
      </c>
      <c r="K19" s="7">
        <f>Table2[[#This Row],[Quantity]]*Table2[[#This Row],[Unit Price]]</f>
        <v>1686</v>
      </c>
      <c r="L19" s="7" t="e">
        <f>Table2[[#This Row],[Sales Revenue]]-Table2[[#This Row],[Total Cost After Product Percentage Calc]]</f>
        <v>#REF!</v>
      </c>
    </row>
    <row r="20" spans="1:12" ht="14.25" customHeight="1" x14ac:dyDescent="0.3">
      <c r="A20" s="1">
        <v>1</v>
      </c>
      <c r="B20" s="1">
        <v>124</v>
      </c>
      <c r="C20" s="1" t="s">
        <v>10</v>
      </c>
      <c r="D20" s="1" t="s">
        <v>31</v>
      </c>
      <c r="E20" s="1" t="s">
        <v>12</v>
      </c>
      <c r="F20" t="e">
        <f>TEXT(#REF!,"YYY")</f>
        <v>#REF!</v>
      </c>
      <c r="G20" t="e">
        <f>TEXT(#REF!,"MMM")</f>
        <v>#REF!</v>
      </c>
      <c r="H20" t="e">
        <f>TEXT(#REF!,"DDD")</f>
        <v>#REF!</v>
      </c>
      <c r="I20" t="e">
        <f>DATEDIF(#REF!,#REF!,"D")</f>
        <v>#REF!</v>
      </c>
      <c r="J20" s="7" t="e">
        <f>ROUND(Table2[[#This Row],[Quantity]]*Table2[[#This Row],[Unit Price]]*VLOOKUP(#REF!,Table_1[#All],2,FALSE),0)</f>
        <v>#REF!</v>
      </c>
      <c r="K20" s="7">
        <f>Table2[[#This Row],[Quantity]]*Table2[[#This Row],[Unit Price]]</f>
        <v>124</v>
      </c>
      <c r="L20" s="7" t="e">
        <f>Table2[[#This Row],[Sales Revenue]]-Table2[[#This Row],[Total Cost After Product Percentage Calc]]</f>
        <v>#REF!</v>
      </c>
    </row>
    <row r="21" spans="1:12" ht="14.25" customHeight="1" x14ac:dyDescent="0.3">
      <c r="A21" s="1">
        <v>2</v>
      </c>
      <c r="B21" s="1">
        <v>97</v>
      </c>
      <c r="C21" s="1" t="s">
        <v>10</v>
      </c>
      <c r="D21" s="1" t="s">
        <v>24</v>
      </c>
      <c r="E21" s="1" t="s">
        <v>30</v>
      </c>
      <c r="F21" t="e">
        <f>TEXT(#REF!,"YYY")</f>
        <v>#REF!</v>
      </c>
      <c r="G21" t="e">
        <f>TEXT(#REF!,"MMM")</f>
        <v>#REF!</v>
      </c>
      <c r="H21" t="e">
        <f>TEXT(#REF!,"DDD")</f>
        <v>#REF!</v>
      </c>
      <c r="I21" t="e">
        <f>DATEDIF(#REF!,#REF!,"D")</f>
        <v>#REF!</v>
      </c>
      <c r="J21" s="7" t="e">
        <f>ROUND(Table2[[#This Row],[Quantity]]*Table2[[#This Row],[Unit Price]]*VLOOKUP(#REF!,Table_1[#All],2,FALSE),0)</f>
        <v>#REF!</v>
      </c>
      <c r="K21" s="7">
        <f>Table2[[#This Row],[Quantity]]*Table2[[#This Row],[Unit Price]]</f>
        <v>194</v>
      </c>
      <c r="L21" s="7" t="e">
        <f>Table2[[#This Row],[Sales Revenue]]-Table2[[#This Row],[Total Cost After Product Percentage Calc]]</f>
        <v>#REF!</v>
      </c>
    </row>
    <row r="22" spans="1:12" ht="14.25" customHeight="1" x14ac:dyDescent="0.3">
      <c r="A22" s="1">
        <v>4</v>
      </c>
      <c r="B22" s="1">
        <v>151</v>
      </c>
      <c r="C22" s="1" t="s">
        <v>10</v>
      </c>
      <c r="D22" s="1" t="s">
        <v>24</v>
      </c>
      <c r="E22" s="1" t="s">
        <v>12</v>
      </c>
      <c r="F22" t="e">
        <f>TEXT(#REF!,"YYY")</f>
        <v>#REF!</v>
      </c>
      <c r="G22" t="e">
        <f>TEXT(#REF!,"MMM")</f>
        <v>#REF!</v>
      </c>
      <c r="H22" t="e">
        <f>TEXT(#REF!,"DDD")</f>
        <v>#REF!</v>
      </c>
      <c r="I22" t="e">
        <f>DATEDIF(#REF!,#REF!,"D")</f>
        <v>#REF!</v>
      </c>
      <c r="J22" s="7" t="e">
        <f>ROUND(Table2[[#This Row],[Quantity]]*Table2[[#This Row],[Unit Price]]*VLOOKUP(#REF!,Table_1[#All],2,FALSE),0)</f>
        <v>#REF!</v>
      </c>
      <c r="K22" s="7">
        <f>Table2[[#This Row],[Quantity]]*Table2[[#This Row],[Unit Price]]</f>
        <v>604</v>
      </c>
      <c r="L22" s="7" t="e">
        <f>Table2[[#This Row],[Sales Revenue]]-Table2[[#This Row],[Total Cost After Product Percentage Calc]]</f>
        <v>#REF!</v>
      </c>
    </row>
    <row r="23" spans="1:12" ht="14.25" customHeight="1" thickBot="1" x14ac:dyDescent="0.35">
      <c r="A23" s="1">
        <v>4</v>
      </c>
      <c r="B23" s="1">
        <v>961</v>
      </c>
      <c r="C23" s="1" t="s">
        <v>20</v>
      </c>
      <c r="D23" s="1" t="s">
        <v>24</v>
      </c>
      <c r="E23" s="1" t="s">
        <v>12</v>
      </c>
      <c r="F23" t="e">
        <f>TEXT(#REF!,"YYY")</f>
        <v>#REF!</v>
      </c>
      <c r="G23" t="e">
        <f>TEXT(#REF!,"MMM")</f>
        <v>#REF!</v>
      </c>
      <c r="H23" s="3" t="e">
        <f>TEXT(#REF!,"DDD")</f>
        <v>#REF!</v>
      </c>
      <c r="I23" s="3" t="e">
        <f>DATEDIF(#REF!,#REF!,"D")</f>
        <v>#REF!</v>
      </c>
      <c r="J23" s="7" t="e">
        <f>ROUND(Table2[[#This Row],[Quantity]]*Table2[[#This Row],[Unit Price]]*VLOOKUP(#REF!,Table_1[#All],2,FALSE),0)</f>
        <v>#REF!</v>
      </c>
      <c r="K23" s="7">
        <f>Table2[[#This Row],[Quantity]]*Table2[[#This Row],[Unit Price]]</f>
        <v>3844</v>
      </c>
      <c r="L23" s="7" t="e">
        <f>Table2[[#This Row],[Sales Revenue]]-Table2[[#This Row],[Total Cost After Product Percentage Calc]]</f>
        <v>#REF!</v>
      </c>
    </row>
    <row r="24" spans="1:12" ht="14.25" customHeight="1" x14ac:dyDescent="0.3">
      <c r="A24" s="1">
        <v>6</v>
      </c>
      <c r="B24" s="1">
        <v>458</v>
      </c>
      <c r="C24" s="1" t="s">
        <v>10</v>
      </c>
      <c r="D24" s="1" t="s">
        <v>24</v>
      </c>
      <c r="E24" s="1" t="s">
        <v>14</v>
      </c>
      <c r="F24" t="e">
        <f>TEXT(#REF!,"YYY")</f>
        <v>#REF!</v>
      </c>
      <c r="G24" t="e">
        <f>TEXT(#REF!,"MMM")</f>
        <v>#REF!</v>
      </c>
      <c r="H24" t="e">
        <f>TEXT(#REF!,"DDD")</f>
        <v>#REF!</v>
      </c>
      <c r="I24" t="e">
        <f>DATEDIF(#REF!,#REF!,"D")</f>
        <v>#REF!</v>
      </c>
      <c r="J24" s="7" t="e">
        <f>ROUND(Table2[[#This Row],[Quantity]]*Table2[[#This Row],[Unit Price]]*VLOOKUP(#REF!,Table_1[#All],2,FALSE),0)</f>
        <v>#REF!</v>
      </c>
      <c r="K24" s="7">
        <f>Table2[[#This Row],[Quantity]]*Table2[[#This Row],[Unit Price]]</f>
        <v>2748</v>
      </c>
      <c r="L24" s="7" t="e">
        <f>Table2[[#This Row],[Sales Revenue]]-Table2[[#This Row],[Total Cost After Product Percentage Calc]]</f>
        <v>#REF!</v>
      </c>
    </row>
    <row r="25" spans="1:12" ht="14.25" customHeight="1" x14ac:dyDescent="0.3">
      <c r="A25" s="1">
        <v>6</v>
      </c>
      <c r="B25" s="1">
        <v>31</v>
      </c>
      <c r="C25" s="1" t="s">
        <v>10</v>
      </c>
      <c r="D25" s="1" t="s">
        <v>24</v>
      </c>
      <c r="E25" s="1" t="s">
        <v>22</v>
      </c>
      <c r="F25" t="e">
        <f>TEXT(#REF!,"YYY")</f>
        <v>#REF!</v>
      </c>
      <c r="G25" t="e">
        <f>TEXT(#REF!,"MMM")</f>
        <v>#REF!</v>
      </c>
      <c r="H25" t="e">
        <f>TEXT(#REF!,"DDD")</f>
        <v>#REF!</v>
      </c>
      <c r="I25" t="e">
        <f>DATEDIF(#REF!,#REF!,"D")</f>
        <v>#REF!</v>
      </c>
      <c r="J25" s="7" t="e">
        <f>ROUND(Table2[[#This Row],[Quantity]]*Table2[[#This Row],[Unit Price]]*VLOOKUP(#REF!,Table_1[#All],2,FALSE),0)</f>
        <v>#REF!</v>
      </c>
      <c r="K25" s="7">
        <f>Table2[[#This Row],[Quantity]]*Table2[[#This Row],[Unit Price]]</f>
        <v>186</v>
      </c>
      <c r="L25" s="7" t="e">
        <f>Table2[[#This Row],[Sales Revenue]]-Table2[[#This Row],[Total Cost After Product Percentage Calc]]</f>
        <v>#REF!</v>
      </c>
    </row>
    <row r="26" spans="1:12" ht="14.25" customHeight="1" x14ac:dyDescent="0.3">
      <c r="A26" s="1">
        <v>2</v>
      </c>
      <c r="B26" s="1">
        <v>734</v>
      </c>
      <c r="C26" s="1" t="s">
        <v>10</v>
      </c>
      <c r="D26" s="1" t="s">
        <v>24</v>
      </c>
      <c r="E26" s="1" t="s">
        <v>30</v>
      </c>
      <c r="F26" t="e">
        <f>TEXT(#REF!,"YYY")</f>
        <v>#REF!</v>
      </c>
      <c r="G26" t="e">
        <f>TEXT(#REF!,"MMM")</f>
        <v>#REF!</v>
      </c>
      <c r="H26" t="e">
        <f>TEXT(#REF!,"DDD")</f>
        <v>#REF!</v>
      </c>
      <c r="I26" t="e">
        <f>DATEDIF(#REF!,#REF!,"D")</f>
        <v>#REF!</v>
      </c>
      <c r="J26" s="7" t="e">
        <f>ROUND(Table2[[#This Row],[Quantity]]*Table2[[#This Row],[Unit Price]]*VLOOKUP(#REF!,Table_1[#All],2,FALSE),0)</f>
        <v>#REF!</v>
      </c>
      <c r="K26" s="7">
        <f>Table2[[#This Row],[Quantity]]*Table2[[#This Row],[Unit Price]]</f>
        <v>1468</v>
      </c>
      <c r="L26" s="7" t="e">
        <f>Table2[[#This Row],[Sales Revenue]]-Table2[[#This Row],[Total Cost After Product Percentage Calc]]</f>
        <v>#REF!</v>
      </c>
    </row>
    <row r="27" spans="1:12" ht="14.25" customHeight="1" x14ac:dyDescent="0.3">
      <c r="A27" s="1">
        <v>2</v>
      </c>
      <c r="B27" s="1">
        <v>536</v>
      </c>
      <c r="C27" s="1" t="s">
        <v>20</v>
      </c>
      <c r="D27" s="1" t="s">
        <v>11</v>
      </c>
      <c r="E27" s="1" t="s">
        <v>12</v>
      </c>
      <c r="F27" t="e">
        <f>TEXT(#REF!,"YYY")</f>
        <v>#REF!</v>
      </c>
      <c r="G27" t="e">
        <f>TEXT(#REF!,"MMM")</f>
        <v>#REF!</v>
      </c>
      <c r="H27" t="e">
        <f>TEXT(#REF!,"DDD")</f>
        <v>#REF!</v>
      </c>
      <c r="I27" t="e">
        <f>DATEDIF(#REF!,#REF!,"D")</f>
        <v>#REF!</v>
      </c>
      <c r="J27" s="7" t="e">
        <f>ROUND(Table2[[#This Row],[Quantity]]*Table2[[#This Row],[Unit Price]]*VLOOKUP(#REF!,Table_1[#All],2,FALSE),0)</f>
        <v>#REF!</v>
      </c>
      <c r="K27" s="7">
        <f>Table2[[#This Row],[Quantity]]*Table2[[#This Row],[Unit Price]]</f>
        <v>1072</v>
      </c>
      <c r="L27" s="7" t="e">
        <f>Table2[[#This Row],[Sales Revenue]]-Table2[[#This Row],[Total Cost After Product Percentage Calc]]</f>
        <v>#REF!</v>
      </c>
    </row>
    <row r="28" spans="1:12" ht="14.25" customHeight="1" x14ac:dyDescent="0.3">
      <c r="A28" s="1">
        <v>1</v>
      </c>
      <c r="B28" s="1">
        <v>200</v>
      </c>
      <c r="C28" s="1" t="s">
        <v>10</v>
      </c>
      <c r="D28" s="1" t="s">
        <v>24</v>
      </c>
      <c r="E28" s="1" t="s">
        <v>30</v>
      </c>
      <c r="F28" t="e">
        <f>TEXT(#REF!,"YYY")</f>
        <v>#REF!</v>
      </c>
      <c r="G28" t="e">
        <f>TEXT(#REF!,"MMM")</f>
        <v>#REF!</v>
      </c>
      <c r="H28" t="e">
        <f>TEXT(#REF!,"DDD")</f>
        <v>#REF!</v>
      </c>
      <c r="I28" t="e">
        <f>DATEDIF(#REF!,#REF!,"D")</f>
        <v>#REF!</v>
      </c>
      <c r="J28" s="7" t="e">
        <f>ROUND(Table2[[#This Row],[Quantity]]*Table2[[#This Row],[Unit Price]]*VLOOKUP(#REF!,Table_1[#All],2,FALSE),0)</f>
        <v>#REF!</v>
      </c>
      <c r="K28" s="7">
        <f>Table2[[#This Row],[Quantity]]*Table2[[#This Row],[Unit Price]]</f>
        <v>200</v>
      </c>
      <c r="L28" s="7" t="e">
        <f>Table2[[#This Row],[Sales Revenue]]-Table2[[#This Row],[Total Cost After Product Percentage Calc]]</f>
        <v>#REF!</v>
      </c>
    </row>
    <row r="29" spans="1:12" ht="14.25" customHeight="1" x14ac:dyDescent="0.3">
      <c r="A29" s="1">
        <v>9</v>
      </c>
      <c r="B29" s="1">
        <v>866</v>
      </c>
      <c r="C29" s="1" t="s">
        <v>10</v>
      </c>
      <c r="D29" s="1" t="s">
        <v>11</v>
      </c>
      <c r="E29" s="1" t="s">
        <v>22</v>
      </c>
      <c r="F29" t="e">
        <f>TEXT(#REF!,"YYY")</f>
        <v>#REF!</v>
      </c>
      <c r="G29" t="e">
        <f>TEXT(#REF!,"MMM")</f>
        <v>#REF!</v>
      </c>
      <c r="H29" t="e">
        <f>TEXT(#REF!,"DDD")</f>
        <v>#REF!</v>
      </c>
      <c r="I29" t="e">
        <f>DATEDIF(#REF!,#REF!,"D")</f>
        <v>#REF!</v>
      </c>
      <c r="J29" s="7" t="e">
        <f>ROUND(Table2[[#This Row],[Quantity]]*Table2[[#This Row],[Unit Price]]*VLOOKUP(#REF!,Table_1[#All],2,FALSE),0)</f>
        <v>#REF!</v>
      </c>
      <c r="K29" s="7">
        <f>Table2[[#This Row],[Quantity]]*Table2[[#This Row],[Unit Price]]</f>
        <v>7794</v>
      </c>
      <c r="L29" s="7" t="e">
        <f>Table2[[#This Row],[Sales Revenue]]-Table2[[#This Row],[Total Cost After Product Percentage Calc]]</f>
        <v>#REF!</v>
      </c>
    </row>
    <row r="30" spans="1:12" ht="14.25" customHeight="1" x14ac:dyDescent="0.3">
      <c r="A30" s="1">
        <v>8</v>
      </c>
      <c r="B30" s="1">
        <v>228</v>
      </c>
      <c r="C30" s="1" t="s">
        <v>10</v>
      </c>
      <c r="D30" s="1" t="s">
        <v>16</v>
      </c>
      <c r="E30" s="1" t="s">
        <v>22</v>
      </c>
      <c r="F30" t="e">
        <f>TEXT(#REF!,"YYY")</f>
        <v>#REF!</v>
      </c>
      <c r="G30" t="e">
        <f>TEXT(#REF!,"MMM")</f>
        <v>#REF!</v>
      </c>
      <c r="H30" t="e">
        <f>TEXT(#REF!,"DDD")</f>
        <v>#REF!</v>
      </c>
      <c r="I30" t="e">
        <f>DATEDIF(#REF!,#REF!,"D")</f>
        <v>#REF!</v>
      </c>
      <c r="J30" s="7" t="e">
        <f>ROUND(Table2[[#This Row],[Quantity]]*Table2[[#This Row],[Unit Price]]*VLOOKUP(#REF!,Table_1[#All],2,FALSE),0)</f>
        <v>#REF!</v>
      </c>
      <c r="K30" s="7">
        <f>Table2[[#This Row],[Quantity]]*Table2[[#This Row],[Unit Price]]</f>
        <v>1824</v>
      </c>
      <c r="L30" s="7" t="e">
        <f>Table2[[#This Row],[Sales Revenue]]-Table2[[#This Row],[Total Cost After Product Percentage Calc]]</f>
        <v>#REF!</v>
      </c>
    </row>
    <row r="31" spans="1:12" ht="14.25" customHeight="1" x14ac:dyDescent="0.3">
      <c r="A31" s="1">
        <v>8</v>
      </c>
      <c r="B31" s="1">
        <v>168</v>
      </c>
      <c r="C31" s="1" t="s">
        <v>10</v>
      </c>
      <c r="D31" s="1" t="s">
        <v>11</v>
      </c>
      <c r="E31" s="1" t="s">
        <v>14</v>
      </c>
      <c r="F31" t="e">
        <f>TEXT(#REF!,"YYY")</f>
        <v>#REF!</v>
      </c>
      <c r="G31" t="e">
        <f>TEXT(#REF!,"MMM")</f>
        <v>#REF!</v>
      </c>
      <c r="H31" t="e">
        <f>TEXT(#REF!,"DDD")</f>
        <v>#REF!</v>
      </c>
      <c r="I31" t="e">
        <f>DATEDIF(#REF!,#REF!,"D")</f>
        <v>#REF!</v>
      </c>
      <c r="J31" s="7" t="e">
        <f>ROUND(Table2[[#This Row],[Quantity]]*Table2[[#This Row],[Unit Price]]*VLOOKUP(#REF!,Table_1[#All],2,FALSE),0)</f>
        <v>#REF!</v>
      </c>
      <c r="K31" s="7">
        <f>Table2[[#This Row],[Quantity]]*Table2[[#This Row],[Unit Price]]</f>
        <v>1344</v>
      </c>
      <c r="L31" s="7" t="e">
        <f>Table2[[#This Row],[Sales Revenue]]-Table2[[#This Row],[Total Cost After Product Percentage Calc]]</f>
        <v>#REF!</v>
      </c>
    </row>
    <row r="32" spans="1:12" ht="14.25" customHeight="1" x14ac:dyDescent="0.3">
      <c r="A32" s="1">
        <v>1</v>
      </c>
      <c r="B32" s="1">
        <v>775</v>
      </c>
      <c r="C32" s="1" t="s">
        <v>10</v>
      </c>
      <c r="D32" s="1" t="s">
        <v>31</v>
      </c>
      <c r="E32" s="1" t="s">
        <v>14</v>
      </c>
      <c r="F32" t="e">
        <f>TEXT(#REF!,"YYY")</f>
        <v>#REF!</v>
      </c>
      <c r="G32" t="e">
        <f>TEXT(#REF!,"MMM")</f>
        <v>#REF!</v>
      </c>
      <c r="H32" t="e">
        <f>TEXT(#REF!,"DDD")</f>
        <v>#REF!</v>
      </c>
      <c r="I32" t="e">
        <f>DATEDIF(#REF!,#REF!,"D")</f>
        <v>#REF!</v>
      </c>
      <c r="J32" s="7" t="e">
        <f>ROUND(Table2[[#This Row],[Quantity]]*Table2[[#This Row],[Unit Price]]*VLOOKUP(#REF!,Table_1[#All],2,FALSE),0)</f>
        <v>#REF!</v>
      </c>
      <c r="K32" s="7">
        <f>Table2[[#This Row],[Quantity]]*Table2[[#This Row],[Unit Price]]</f>
        <v>775</v>
      </c>
      <c r="L32" s="7" t="e">
        <f>Table2[[#This Row],[Sales Revenue]]-Table2[[#This Row],[Total Cost After Product Percentage Calc]]</f>
        <v>#REF!</v>
      </c>
    </row>
    <row r="33" spans="1:12" ht="14.25" customHeight="1" x14ac:dyDescent="0.3">
      <c r="A33" s="1">
        <v>9</v>
      </c>
      <c r="B33" s="1">
        <v>171</v>
      </c>
      <c r="C33" s="1" t="s">
        <v>10</v>
      </c>
      <c r="D33" s="1" t="s">
        <v>11</v>
      </c>
      <c r="E33" s="1" t="s">
        <v>22</v>
      </c>
      <c r="F33" t="e">
        <f>TEXT(#REF!,"YYY")</f>
        <v>#REF!</v>
      </c>
      <c r="G33" t="e">
        <f>TEXT(#REF!,"MMM")</f>
        <v>#REF!</v>
      </c>
      <c r="H33" t="e">
        <f>TEXT(#REF!,"DDD")</f>
        <v>#REF!</v>
      </c>
      <c r="I33" t="e">
        <f>DATEDIF(#REF!,#REF!,"D")</f>
        <v>#REF!</v>
      </c>
      <c r="J33" s="7" t="e">
        <f>ROUND(Table2[[#This Row],[Quantity]]*Table2[[#This Row],[Unit Price]]*VLOOKUP(#REF!,Table_1[#All],2,FALSE),0)</f>
        <v>#REF!</v>
      </c>
      <c r="K33" s="7">
        <f>Table2[[#This Row],[Quantity]]*Table2[[#This Row],[Unit Price]]</f>
        <v>1539</v>
      </c>
      <c r="L33" s="7" t="e">
        <f>Table2[[#This Row],[Sales Revenue]]-Table2[[#This Row],[Total Cost After Product Percentage Calc]]</f>
        <v>#REF!</v>
      </c>
    </row>
    <row r="34" spans="1:12" ht="14.25" customHeight="1" x14ac:dyDescent="0.3">
      <c r="A34" s="1">
        <v>10</v>
      </c>
      <c r="B34" s="1">
        <v>618</v>
      </c>
      <c r="C34" s="1" t="s">
        <v>10</v>
      </c>
      <c r="D34" s="1" t="s">
        <v>11</v>
      </c>
      <c r="E34" s="1" t="s">
        <v>30</v>
      </c>
      <c r="F34" t="e">
        <f>TEXT(#REF!,"YYY")</f>
        <v>#REF!</v>
      </c>
      <c r="G34" t="e">
        <f>TEXT(#REF!,"MMM")</f>
        <v>#REF!</v>
      </c>
      <c r="H34" t="e">
        <f>TEXT(#REF!,"DDD")</f>
        <v>#REF!</v>
      </c>
      <c r="I34" t="e">
        <f>DATEDIF(#REF!,#REF!,"D")</f>
        <v>#REF!</v>
      </c>
      <c r="J34" s="7" t="e">
        <f>ROUND(Table2[[#This Row],[Quantity]]*Table2[[#This Row],[Unit Price]]*VLOOKUP(#REF!,Table_1[#All],2,FALSE),0)</f>
        <v>#REF!</v>
      </c>
      <c r="K34" s="7">
        <f>Table2[[#This Row],[Quantity]]*Table2[[#This Row],[Unit Price]]</f>
        <v>6180</v>
      </c>
      <c r="L34" s="7" t="e">
        <f>Table2[[#This Row],[Sales Revenue]]-Table2[[#This Row],[Total Cost After Product Percentage Calc]]</f>
        <v>#REF!</v>
      </c>
    </row>
    <row r="35" spans="1:12" ht="14.25" customHeight="1" x14ac:dyDescent="0.3">
      <c r="A35" s="1">
        <v>9</v>
      </c>
      <c r="B35" s="1">
        <v>333</v>
      </c>
      <c r="C35" s="1" t="s">
        <v>20</v>
      </c>
      <c r="D35" s="1" t="s">
        <v>31</v>
      </c>
      <c r="E35" s="1" t="s">
        <v>30</v>
      </c>
      <c r="F35" t="e">
        <f>TEXT(#REF!,"YYY")</f>
        <v>#REF!</v>
      </c>
      <c r="G35" t="e">
        <f>TEXT(#REF!,"MMM")</f>
        <v>#REF!</v>
      </c>
      <c r="H35" t="e">
        <f>TEXT(#REF!,"DDD")</f>
        <v>#REF!</v>
      </c>
      <c r="I35" t="e">
        <f>DATEDIF(#REF!,#REF!,"D")</f>
        <v>#REF!</v>
      </c>
      <c r="J35" s="7" t="e">
        <f>ROUND(Table2[[#This Row],[Quantity]]*Table2[[#This Row],[Unit Price]]*VLOOKUP(#REF!,Table_1[#All],2,FALSE),0)</f>
        <v>#REF!</v>
      </c>
      <c r="K35" s="7">
        <f>Table2[[#This Row],[Quantity]]*Table2[[#This Row],[Unit Price]]</f>
        <v>2997</v>
      </c>
      <c r="L35" s="7" t="e">
        <f>Table2[[#This Row],[Sales Revenue]]-Table2[[#This Row],[Total Cost After Product Percentage Calc]]</f>
        <v>#REF!</v>
      </c>
    </row>
    <row r="36" spans="1:12" ht="14.25" customHeight="1" x14ac:dyDescent="0.3">
      <c r="A36" s="1">
        <v>8</v>
      </c>
      <c r="B36" s="1">
        <v>646</v>
      </c>
      <c r="C36" s="1" t="s">
        <v>10</v>
      </c>
      <c r="D36" s="1" t="s">
        <v>24</v>
      </c>
      <c r="E36" s="1" t="s">
        <v>30</v>
      </c>
      <c r="F36" t="e">
        <f>TEXT(#REF!,"YYY")</f>
        <v>#REF!</v>
      </c>
      <c r="G36" t="e">
        <f>TEXT(#REF!,"MMM")</f>
        <v>#REF!</v>
      </c>
      <c r="H36" t="e">
        <f>TEXT(#REF!,"DDD")</f>
        <v>#REF!</v>
      </c>
      <c r="I36" t="e">
        <f>DATEDIF(#REF!,#REF!,"D")</f>
        <v>#REF!</v>
      </c>
      <c r="J36" s="7" t="e">
        <f>ROUND(Table2[[#This Row],[Quantity]]*Table2[[#This Row],[Unit Price]]*VLOOKUP(#REF!,Table_1[#All],2,FALSE),0)</f>
        <v>#REF!</v>
      </c>
      <c r="K36" s="7">
        <f>Table2[[#This Row],[Quantity]]*Table2[[#This Row],[Unit Price]]</f>
        <v>5168</v>
      </c>
      <c r="L36" s="7" t="e">
        <f>Table2[[#This Row],[Sales Revenue]]-Table2[[#This Row],[Total Cost After Product Percentage Calc]]</f>
        <v>#REF!</v>
      </c>
    </row>
    <row r="37" spans="1:12" ht="14.25" customHeight="1" x14ac:dyDescent="0.3">
      <c r="A37" s="1">
        <v>5</v>
      </c>
      <c r="B37">
        <v>496</v>
      </c>
      <c r="C37" s="1" t="s">
        <v>10</v>
      </c>
      <c r="D37" s="1" t="s">
        <v>31</v>
      </c>
      <c r="E37" s="1" t="s">
        <v>12</v>
      </c>
      <c r="F37" t="e">
        <f>TEXT(#REF!,"YYY")</f>
        <v>#REF!</v>
      </c>
      <c r="G37" t="e">
        <f>TEXT(#REF!,"MMM")</f>
        <v>#REF!</v>
      </c>
      <c r="H37" t="e">
        <f>TEXT(#REF!,"DDD")</f>
        <v>#REF!</v>
      </c>
      <c r="I37" t="e">
        <f>DATEDIF(#REF!,#REF!,"D")</f>
        <v>#REF!</v>
      </c>
      <c r="J37" s="7" t="e">
        <f>ROUND(Table2[[#This Row],[Quantity]]*Table2[[#This Row],[Unit Price]]*VLOOKUP(#REF!,Table_1[#All],2,FALSE),0)</f>
        <v>#REF!</v>
      </c>
      <c r="K37" s="7">
        <f>Table2[[#This Row],[Quantity]]*Table2[[#This Row],[Unit Price]]</f>
        <v>2480</v>
      </c>
      <c r="L37" s="7" t="e">
        <f>Table2[[#This Row],[Sales Revenue]]-Table2[[#This Row],[Total Cost After Product Percentage Calc]]</f>
        <v>#REF!</v>
      </c>
    </row>
    <row r="38" spans="1:12" ht="14.25" customHeight="1" x14ac:dyDescent="0.3">
      <c r="A38" s="1">
        <v>8</v>
      </c>
      <c r="B38" s="1">
        <v>863</v>
      </c>
      <c r="C38" s="1" t="s">
        <v>20</v>
      </c>
      <c r="D38" s="1" t="s">
        <v>24</v>
      </c>
      <c r="E38" s="1" t="s">
        <v>30</v>
      </c>
      <c r="F38" t="e">
        <f>TEXT(#REF!,"YYY")</f>
        <v>#REF!</v>
      </c>
      <c r="G38" t="e">
        <f>TEXT(#REF!,"MMM")</f>
        <v>#REF!</v>
      </c>
      <c r="H38" t="e">
        <f>TEXT(#REF!,"DDD")</f>
        <v>#REF!</v>
      </c>
      <c r="I38" t="e">
        <f>DATEDIF(#REF!,#REF!,"D")</f>
        <v>#REF!</v>
      </c>
      <c r="J38" s="7" t="e">
        <f>ROUND(Table2[[#This Row],[Quantity]]*Table2[[#This Row],[Unit Price]]*VLOOKUP(#REF!,Table_1[#All],2,FALSE),0)</f>
        <v>#REF!</v>
      </c>
      <c r="K38" s="7">
        <f>Table2[[#This Row],[Quantity]]*Table2[[#This Row],[Unit Price]]</f>
        <v>6904</v>
      </c>
      <c r="L38" s="7" t="e">
        <f>Table2[[#This Row],[Sales Revenue]]-Table2[[#This Row],[Total Cost After Product Percentage Calc]]</f>
        <v>#REF!</v>
      </c>
    </row>
    <row r="39" spans="1:12" ht="14.25" customHeight="1" x14ac:dyDescent="0.3">
      <c r="A39" s="1">
        <v>9</v>
      </c>
      <c r="B39" s="1">
        <v>316</v>
      </c>
      <c r="C39" s="1" t="s">
        <v>10</v>
      </c>
      <c r="D39" s="1" t="s">
        <v>24</v>
      </c>
      <c r="E39" s="1" t="s">
        <v>12</v>
      </c>
      <c r="F39" t="e">
        <f>TEXT(#REF!,"YYY")</f>
        <v>#REF!</v>
      </c>
      <c r="G39" t="e">
        <f>TEXT(#REF!,"MMM")</f>
        <v>#REF!</v>
      </c>
      <c r="H39" t="e">
        <f>TEXT(#REF!,"DDD")</f>
        <v>#REF!</v>
      </c>
      <c r="I39" t="e">
        <f>DATEDIF(#REF!,#REF!,"D")</f>
        <v>#REF!</v>
      </c>
      <c r="J39" s="7" t="e">
        <f>ROUND(Table2[[#This Row],[Quantity]]*Table2[[#This Row],[Unit Price]]*VLOOKUP(#REF!,Table_1[#All],2,FALSE),0)</f>
        <v>#REF!</v>
      </c>
      <c r="K39" s="7">
        <f>Table2[[#This Row],[Quantity]]*Table2[[#This Row],[Unit Price]]</f>
        <v>2844</v>
      </c>
      <c r="L39" s="7" t="e">
        <f>Table2[[#This Row],[Sales Revenue]]-Table2[[#This Row],[Total Cost After Product Percentage Calc]]</f>
        <v>#REF!</v>
      </c>
    </row>
    <row r="40" spans="1:12" ht="14.25" customHeight="1" x14ac:dyDescent="0.3">
      <c r="A40" s="1">
        <v>9</v>
      </c>
      <c r="B40" s="1">
        <v>169</v>
      </c>
      <c r="C40" s="1" t="s">
        <v>20</v>
      </c>
      <c r="D40" s="1" t="s">
        <v>31</v>
      </c>
      <c r="E40" s="1" t="s">
        <v>22</v>
      </c>
      <c r="F40" t="e">
        <f>TEXT(#REF!,"YYY")</f>
        <v>#REF!</v>
      </c>
      <c r="G40" t="e">
        <f>TEXT(#REF!,"MMM")</f>
        <v>#REF!</v>
      </c>
      <c r="H40" t="e">
        <f>TEXT(#REF!,"DDD")</f>
        <v>#REF!</v>
      </c>
      <c r="I40" t="e">
        <f>DATEDIF(#REF!,#REF!,"D")</f>
        <v>#REF!</v>
      </c>
      <c r="J40" s="7" t="e">
        <f>ROUND(Table2[[#This Row],[Quantity]]*Table2[[#This Row],[Unit Price]]*VLOOKUP(#REF!,Table_1[#All],2,FALSE),0)</f>
        <v>#REF!</v>
      </c>
      <c r="K40" s="7">
        <f>Table2[[#This Row],[Quantity]]*Table2[[#This Row],[Unit Price]]</f>
        <v>1521</v>
      </c>
      <c r="L40" s="7" t="e">
        <f>Table2[[#This Row],[Sales Revenue]]-Table2[[#This Row],[Total Cost After Product Percentage Calc]]</f>
        <v>#REF!</v>
      </c>
    </row>
    <row r="41" spans="1:12" ht="14.25" customHeight="1" x14ac:dyDescent="0.3">
      <c r="A41" s="1">
        <v>5</v>
      </c>
      <c r="B41" s="1">
        <v>527</v>
      </c>
      <c r="C41" s="1" t="s">
        <v>10</v>
      </c>
      <c r="D41" s="1" t="s">
        <v>21</v>
      </c>
      <c r="E41" s="1" t="s">
        <v>14</v>
      </c>
      <c r="F41" t="e">
        <f>TEXT(#REF!,"YYY")</f>
        <v>#REF!</v>
      </c>
      <c r="G41" t="e">
        <f>TEXT(#REF!,"MMM")</f>
        <v>#REF!</v>
      </c>
      <c r="H41" t="e">
        <f>TEXT(#REF!,"DDD")</f>
        <v>#REF!</v>
      </c>
      <c r="I41" t="e">
        <f>DATEDIF(#REF!,#REF!,"D")</f>
        <v>#REF!</v>
      </c>
      <c r="J41" s="7" t="e">
        <f>ROUND(Table2[[#This Row],[Quantity]]*Table2[[#This Row],[Unit Price]]*VLOOKUP(#REF!,Table_1[#All],2,FALSE),0)</f>
        <v>#REF!</v>
      </c>
      <c r="K41" s="7">
        <f>Table2[[#This Row],[Quantity]]*Table2[[#This Row],[Unit Price]]</f>
        <v>2635</v>
      </c>
      <c r="L41" s="7" t="e">
        <f>Table2[[#This Row],[Sales Revenue]]-Table2[[#This Row],[Total Cost After Product Percentage Calc]]</f>
        <v>#REF!</v>
      </c>
    </row>
    <row r="42" spans="1:12" ht="14.25" customHeight="1" x14ac:dyDescent="0.3">
      <c r="A42" s="1">
        <v>1</v>
      </c>
      <c r="B42" s="1">
        <v>13</v>
      </c>
      <c r="C42" s="1" t="s">
        <v>20</v>
      </c>
      <c r="D42" s="1" t="s">
        <v>31</v>
      </c>
      <c r="E42" s="1" t="s">
        <v>22</v>
      </c>
      <c r="F42" t="e">
        <f>TEXT(#REF!,"YYY")</f>
        <v>#REF!</v>
      </c>
      <c r="G42" t="e">
        <f>TEXT(#REF!,"MMM")</f>
        <v>#REF!</v>
      </c>
      <c r="H42" t="e">
        <f>TEXT(#REF!,"DDD")</f>
        <v>#REF!</v>
      </c>
      <c r="I42" t="e">
        <f>DATEDIF(#REF!,#REF!,"D")</f>
        <v>#REF!</v>
      </c>
      <c r="J42" s="7" t="e">
        <f>ROUND(Table2[[#This Row],[Quantity]]*Table2[[#This Row],[Unit Price]]*VLOOKUP(#REF!,Table_1[#All],2,FALSE),0)</f>
        <v>#REF!</v>
      </c>
      <c r="K42" s="7">
        <f>Table2[[#This Row],[Quantity]]*Table2[[#This Row],[Unit Price]]</f>
        <v>13</v>
      </c>
      <c r="L42" s="7" t="e">
        <f>Table2[[#This Row],[Sales Revenue]]-Table2[[#This Row],[Total Cost After Product Percentage Calc]]</f>
        <v>#REF!</v>
      </c>
    </row>
    <row r="43" spans="1:12" ht="14.25" customHeight="1" x14ac:dyDescent="0.3">
      <c r="A43" s="1">
        <v>9</v>
      </c>
      <c r="B43" s="1">
        <v>732</v>
      </c>
      <c r="C43" s="1" t="s">
        <v>10</v>
      </c>
      <c r="D43" s="1" t="s">
        <v>21</v>
      </c>
      <c r="E43" s="1" t="s">
        <v>22</v>
      </c>
      <c r="F43" t="e">
        <f>TEXT(#REF!,"YYY")</f>
        <v>#REF!</v>
      </c>
      <c r="G43" t="e">
        <f>TEXT(#REF!,"MMM")</f>
        <v>#REF!</v>
      </c>
      <c r="H43" t="e">
        <f>TEXT(#REF!,"DDD")</f>
        <v>#REF!</v>
      </c>
      <c r="I43" t="e">
        <f>DATEDIF(#REF!,#REF!,"D")</f>
        <v>#REF!</v>
      </c>
      <c r="J43" s="7" t="e">
        <f>ROUND(Table2[[#This Row],[Quantity]]*Table2[[#This Row],[Unit Price]]*VLOOKUP(#REF!,Table_1[#All],2,FALSE),0)</f>
        <v>#REF!</v>
      </c>
      <c r="K43" s="7">
        <f>Table2[[#This Row],[Quantity]]*Table2[[#This Row],[Unit Price]]</f>
        <v>6588</v>
      </c>
      <c r="L43" s="7" t="e">
        <f>Table2[[#This Row],[Sales Revenue]]-Table2[[#This Row],[Total Cost After Product Percentage Calc]]</f>
        <v>#REF!</v>
      </c>
    </row>
    <row r="44" spans="1:12" ht="14.25" customHeight="1" x14ac:dyDescent="0.3">
      <c r="A44" s="1">
        <v>3</v>
      </c>
      <c r="B44" s="1">
        <v>568</v>
      </c>
      <c r="C44" s="1" t="s">
        <v>20</v>
      </c>
      <c r="D44" s="1" t="s">
        <v>11</v>
      </c>
      <c r="E44" s="1" t="s">
        <v>30</v>
      </c>
      <c r="F44" t="e">
        <f>TEXT(#REF!,"YYY")</f>
        <v>#REF!</v>
      </c>
      <c r="G44" t="e">
        <f>TEXT(#REF!,"MMM")</f>
        <v>#REF!</v>
      </c>
      <c r="H44" t="e">
        <f>TEXT(#REF!,"DDD")</f>
        <v>#REF!</v>
      </c>
      <c r="I44" t="e">
        <f>DATEDIF(#REF!,#REF!,"D")</f>
        <v>#REF!</v>
      </c>
      <c r="J44" s="7" t="e">
        <f>ROUND(Table2[[#This Row],[Quantity]]*Table2[[#This Row],[Unit Price]]*VLOOKUP(#REF!,Table_1[#All],2,FALSE),0)</f>
        <v>#REF!</v>
      </c>
      <c r="K44" s="7">
        <f>Table2[[#This Row],[Quantity]]*Table2[[#This Row],[Unit Price]]</f>
        <v>1704</v>
      </c>
      <c r="L44" s="7" t="e">
        <f>Table2[[#This Row],[Sales Revenue]]-Table2[[#This Row],[Total Cost After Product Percentage Calc]]</f>
        <v>#REF!</v>
      </c>
    </row>
    <row r="45" spans="1:12" ht="14.25" customHeight="1" x14ac:dyDescent="0.3">
      <c r="A45" s="1">
        <v>3</v>
      </c>
      <c r="B45" s="1">
        <v>52</v>
      </c>
      <c r="C45" s="1" t="s">
        <v>10</v>
      </c>
      <c r="D45" s="1" t="s">
        <v>31</v>
      </c>
      <c r="E45" s="1" t="s">
        <v>30</v>
      </c>
      <c r="F45" t="e">
        <f>TEXT(#REF!,"YYY")</f>
        <v>#REF!</v>
      </c>
      <c r="G45" t="e">
        <f>TEXT(#REF!,"MMM")</f>
        <v>#REF!</v>
      </c>
      <c r="H45" t="e">
        <f>TEXT(#REF!,"DDD")</f>
        <v>#REF!</v>
      </c>
      <c r="I45" t="e">
        <f>DATEDIF(#REF!,#REF!,"D")</f>
        <v>#REF!</v>
      </c>
      <c r="J45" s="7" t="e">
        <f>ROUND(Table2[[#This Row],[Quantity]]*Table2[[#This Row],[Unit Price]]*VLOOKUP(#REF!,Table_1[#All],2,FALSE),0)</f>
        <v>#REF!</v>
      </c>
      <c r="K45" s="7">
        <f>Table2[[#This Row],[Quantity]]*Table2[[#This Row],[Unit Price]]</f>
        <v>156</v>
      </c>
      <c r="L45" s="7" t="e">
        <f>Table2[[#This Row],[Sales Revenue]]-Table2[[#This Row],[Total Cost After Product Percentage Calc]]</f>
        <v>#REF!</v>
      </c>
    </row>
    <row r="46" spans="1:12" ht="14.25" customHeight="1" x14ac:dyDescent="0.3">
      <c r="A46" s="1">
        <v>4</v>
      </c>
      <c r="B46" s="1">
        <v>692</v>
      </c>
      <c r="C46" s="1" t="s">
        <v>20</v>
      </c>
      <c r="D46" s="1" t="s">
        <v>11</v>
      </c>
      <c r="E46" s="1" t="s">
        <v>14</v>
      </c>
      <c r="F46" t="e">
        <f>TEXT(#REF!,"YYY")</f>
        <v>#REF!</v>
      </c>
      <c r="G46" t="e">
        <f>TEXT(#REF!,"MMM")</f>
        <v>#REF!</v>
      </c>
      <c r="H46" t="e">
        <f>TEXT(#REF!,"DDD")</f>
        <v>#REF!</v>
      </c>
      <c r="I46" t="e">
        <f>DATEDIF(#REF!,#REF!,"D")</f>
        <v>#REF!</v>
      </c>
      <c r="J46" s="7" t="e">
        <f>ROUND(Table2[[#This Row],[Quantity]]*Table2[[#This Row],[Unit Price]]*VLOOKUP(#REF!,Table_1[#All],2,FALSE),0)</f>
        <v>#REF!</v>
      </c>
      <c r="K46" s="7">
        <f>Table2[[#This Row],[Quantity]]*Table2[[#This Row],[Unit Price]]</f>
        <v>2768</v>
      </c>
      <c r="L46" s="7" t="e">
        <f>Table2[[#This Row],[Sales Revenue]]-Table2[[#This Row],[Total Cost After Product Percentage Calc]]</f>
        <v>#REF!</v>
      </c>
    </row>
    <row r="47" spans="1:12" ht="14.25" customHeight="1" x14ac:dyDescent="0.3">
      <c r="A47" s="1">
        <v>1</v>
      </c>
      <c r="B47" s="1">
        <v>889</v>
      </c>
      <c r="C47" s="1" t="s">
        <v>10</v>
      </c>
      <c r="D47" s="1" t="s">
        <v>21</v>
      </c>
      <c r="E47" s="1" t="s">
        <v>12</v>
      </c>
      <c r="F47" t="e">
        <f>TEXT(#REF!,"YYY")</f>
        <v>#REF!</v>
      </c>
      <c r="G47" t="e">
        <f>TEXT(#REF!,"MMM")</f>
        <v>#REF!</v>
      </c>
      <c r="H47" t="e">
        <f>TEXT(#REF!,"DDD")</f>
        <v>#REF!</v>
      </c>
      <c r="I47" t="e">
        <f>DATEDIF(#REF!,#REF!,"D")</f>
        <v>#REF!</v>
      </c>
      <c r="J47" s="7" t="e">
        <f>ROUND(Table2[[#This Row],[Quantity]]*Table2[[#This Row],[Unit Price]]*VLOOKUP(#REF!,Table_1[#All],2,FALSE),0)</f>
        <v>#REF!</v>
      </c>
      <c r="K47" s="7">
        <f>Table2[[#This Row],[Quantity]]*Table2[[#This Row],[Unit Price]]</f>
        <v>889</v>
      </c>
      <c r="L47" s="7" t="e">
        <f>Table2[[#This Row],[Sales Revenue]]-Table2[[#This Row],[Total Cost After Product Percentage Calc]]</f>
        <v>#REF!</v>
      </c>
    </row>
    <row r="48" spans="1:12" ht="14.25" customHeight="1" x14ac:dyDescent="0.3">
      <c r="A48" s="1">
        <v>2</v>
      </c>
      <c r="B48" s="1">
        <v>908</v>
      </c>
      <c r="C48" s="1" t="s">
        <v>20</v>
      </c>
      <c r="D48" s="1" t="s">
        <v>31</v>
      </c>
      <c r="E48" s="1" t="s">
        <v>30</v>
      </c>
      <c r="F48" t="e">
        <f>TEXT(#REF!,"YYY")</f>
        <v>#REF!</v>
      </c>
      <c r="G48" t="e">
        <f>TEXT(#REF!,"MMM")</f>
        <v>#REF!</v>
      </c>
      <c r="H48" t="e">
        <f>TEXT(#REF!,"DDD")</f>
        <v>#REF!</v>
      </c>
      <c r="I48" t="e">
        <f>DATEDIF(#REF!,#REF!,"D")</f>
        <v>#REF!</v>
      </c>
      <c r="J48" s="7" t="e">
        <f>ROUND(Table2[[#This Row],[Quantity]]*Table2[[#This Row],[Unit Price]]*VLOOKUP(#REF!,Table_1[#All],2,FALSE),0)</f>
        <v>#REF!</v>
      </c>
      <c r="K48" s="7">
        <f>Table2[[#This Row],[Quantity]]*Table2[[#This Row],[Unit Price]]</f>
        <v>1816</v>
      </c>
      <c r="L48" s="7" t="e">
        <f>Table2[[#This Row],[Sales Revenue]]-Table2[[#This Row],[Total Cost After Product Percentage Calc]]</f>
        <v>#REF!</v>
      </c>
    </row>
    <row r="49" spans="1:12" ht="14.25" customHeight="1" x14ac:dyDescent="0.3">
      <c r="A49" s="1">
        <v>9</v>
      </c>
      <c r="B49" s="1">
        <v>957</v>
      </c>
      <c r="C49" s="1" t="s">
        <v>20</v>
      </c>
      <c r="D49" s="1" t="s">
        <v>16</v>
      </c>
      <c r="E49" s="1" t="s">
        <v>30</v>
      </c>
      <c r="F49" t="e">
        <f>TEXT(#REF!,"YYY")</f>
        <v>#REF!</v>
      </c>
      <c r="G49" t="e">
        <f>TEXT(#REF!,"MMM")</f>
        <v>#REF!</v>
      </c>
      <c r="H49" t="e">
        <f>TEXT(#REF!,"DDD")</f>
        <v>#REF!</v>
      </c>
      <c r="I49" t="e">
        <f>DATEDIF(#REF!,#REF!,"D")</f>
        <v>#REF!</v>
      </c>
      <c r="J49" s="7" t="e">
        <f>ROUND(Table2[[#This Row],[Quantity]]*Table2[[#This Row],[Unit Price]]*VLOOKUP(#REF!,Table_1[#All],2,FALSE),0)</f>
        <v>#REF!</v>
      </c>
      <c r="K49" s="7">
        <f>Table2[[#This Row],[Quantity]]*Table2[[#This Row],[Unit Price]]</f>
        <v>8613</v>
      </c>
      <c r="L49" s="7" t="e">
        <f>Table2[[#This Row],[Sales Revenue]]-Table2[[#This Row],[Total Cost After Product Percentage Calc]]</f>
        <v>#REF!</v>
      </c>
    </row>
    <row r="50" spans="1:12" ht="14.25" customHeight="1" x14ac:dyDescent="0.3">
      <c r="A50" s="1">
        <v>2</v>
      </c>
      <c r="B50" s="1">
        <v>981</v>
      </c>
      <c r="C50" s="1" t="s">
        <v>20</v>
      </c>
      <c r="D50" s="1" t="s">
        <v>24</v>
      </c>
      <c r="E50" s="1" t="s">
        <v>14</v>
      </c>
      <c r="F50" t="e">
        <f>TEXT(#REF!,"YYY")</f>
        <v>#REF!</v>
      </c>
      <c r="G50" t="e">
        <f>TEXT(#REF!,"MMM")</f>
        <v>#REF!</v>
      </c>
      <c r="H50" t="e">
        <f>TEXT(#REF!,"DDD")</f>
        <v>#REF!</v>
      </c>
      <c r="I50" t="e">
        <f>DATEDIF(#REF!,#REF!,"D")</f>
        <v>#REF!</v>
      </c>
      <c r="J50" s="7" t="e">
        <f>ROUND(Table2[[#This Row],[Quantity]]*Table2[[#This Row],[Unit Price]]*VLOOKUP(#REF!,Table_1[#All],2,FALSE),0)</f>
        <v>#REF!</v>
      </c>
      <c r="K50" s="7">
        <f>Table2[[#This Row],[Quantity]]*Table2[[#This Row],[Unit Price]]</f>
        <v>1962</v>
      </c>
      <c r="L50" s="7" t="e">
        <f>Table2[[#This Row],[Sales Revenue]]-Table2[[#This Row],[Total Cost After Product Percentage Calc]]</f>
        <v>#REF!</v>
      </c>
    </row>
    <row r="51" spans="1:12" ht="14.25" customHeight="1" x14ac:dyDescent="0.3">
      <c r="A51" s="1">
        <v>3</v>
      </c>
      <c r="B51" s="1">
        <v>206</v>
      </c>
      <c r="C51" s="1" t="s">
        <v>20</v>
      </c>
      <c r="D51" s="1" t="s">
        <v>21</v>
      </c>
      <c r="E51" s="1" t="s">
        <v>14</v>
      </c>
      <c r="F51" t="e">
        <f>TEXT(#REF!,"YYY")</f>
        <v>#REF!</v>
      </c>
      <c r="G51" t="e">
        <f>TEXT(#REF!,"MMM")</f>
        <v>#REF!</v>
      </c>
      <c r="H51" t="e">
        <f>TEXT(#REF!,"DDD")</f>
        <v>#REF!</v>
      </c>
      <c r="I51" t="e">
        <f>DATEDIF(#REF!,#REF!,"D")</f>
        <v>#REF!</v>
      </c>
      <c r="J51" s="7" t="e">
        <f>ROUND(Table2[[#This Row],[Quantity]]*Table2[[#This Row],[Unit Price]]*VLOOKUP(#REF!,Table_1[#All],2,FALSE),0)</f>
        <v>#REF!</v>
      </c>
      <c r="K51" s="7">
        <f>Table2[[#This Row],[Quantity]]*Table2[[#This Row],[Unit Price]]</f>
        <v>618</v>
      </c>
      <c r="L51" s="7" t="e">
        <f>Table2[[#This Row],[Sales Revenue]]-Table2[[#This Row],[Total Cost After Product Percentage Calc]]</f>
        <v>#REF!</v>
      </c>
    </row>
    <row r="52" spans="1:12" ht="14.25" customHeight="1" x14ac:dyDescent="0.3">
      <c r="A52" s="1">
        <v>4</v>
      </c>
      <c r="B52" s="1">
        <v>533</v>
      </c>
      <c r="C52" s="1" t="s">
        <v>20</v>
      </c>
      <c r="D52" s="1" t="s">
        <v>21</v>
      </c>
      <c r="E52" s="1" t="s">
        <v>30</v>
      </c>
      <c r="F52" t="e">
        <f>TEXT(#REF!,"YYY")</f>
        <v>#REF!</v>
      </c>
      <c r="G52" t="e">
        <f>TEXT(#REF!,"MMM")</f>
        <v>#REF!</v>
      </c>
      <c r="H52" t="e">
        <f>TEXT(#REF!,"DDD")</f>
        <v>#REF!</v>
      </c>
      <c r="I52" t="e">
        <f>DATEDIF(#REF!,#REF!,"D")</f>
        <v>#REF!</v>
      </c>
      <c r="J52" s="7" t="e">
        <f>ROUND(Table2[[#This Row],[Quantity]]*Table2[[#This Row],[Unit Price]]*VLOOKUP(#REF!,Table_1[#All],2,FALSE),0)</f>
        <v>#REF!</v>
      </c>
      <c r="K52" s="7">
        <f>Table2[[#This Row],[Quantity]]*Table2[[#This Row],[Unit Price]]</f>
        <v>2132</v>
      </c>
      <c r="L52" s="7" t="e">
        <f>Table2[[#This Row],[Sales Revenue]]-Table2[[#This Row],[Total Cost After Product Percentage Calc]]</f>
        <v>#REF!</v>
      </c>
    </row>
    <row r="53" spans="1:12" ht="14.25" customHeight="1" x14ac:dyDescent="0.3">
      <c r="A53" s="1">
        <v>10</v>
      </c>
      <c r="B53" s="1">
        <v>353</v>
      </c>
      <c r="C53" s="1" t="s">
        <v>20</v>
      </c>
      <c r="D53" s="1" t="s">
        <v>11</v>
      </c>
      <c r="E53" s="1" t="s">
        <v>30</v>
      </c>
      <c r="F53" t="e">
        <f>TEXT(#REF!,"YYY")</f>
        <v>#REF!</v>
      </c>
      <c r="G53" t="e">
        <f>TEXT(#REF!,"MMM")</f>
        <v>#REF!</v>
      </c>
      <c r="H53" t="e">
        <f>TEXT(#REF!,"DDD")</f>
        <v>#REF!</v>
      </c>
      <c r="I53" t="e">
        <f>DATEDIF(#REF!,#REF!,"D")</f>
        <v>#REF!</v>
      </c>
      <c r="J53" s="7" t="e">
        <f>ROUND(Table2[[#This Row],[Quantity]]*Table2[[#This Row],[Unit Price]]*VLOOKUP(#REF!,Table_1[#All],2,FALSE),0)</f>
        <v>#REF!</v>
      </c>
      <c r="K53" s="7">
        <f>Table2[[#This Row],[Quantity]]*Table2[[#This Row],[Unit Price]]</f>
        <v>3530</v>
      </c>
      <c r="L53" s="7" t="e">
        <f>Table2[[#This Row],[Sales Revenue]]-Table2[[#This Row],[Total Cost After Product Percentage Calc]]</f>
        <v>#REF!</v>
      </c>
    </row>
    <row r="54" spans="1:12" ht="14.25" customHeight="1" x14ac:dyDescent="0.3">
      <c r="A54" s="1">
        <v>7</v>
      </c>
      <c r="B54" s="1">
        <v>917</v>
      </c>
      <c r="C54" s="1" t="s">
        <v>10</v>
      </c>
      <c r="D54" s="1" t="s">
        <v>24</v>
      </c>
      <c r="E54" s="1" t="s">
        <v>12</v>
      </c>
      <c r="F54" t="e">
        <f>TEXT(#REF!,"YYY")</f>
        <v>#REF!</v>
      </c>
      <c r="G54" t="e">
        <f>TEXT(#REF!,"MMM")</f>
        <v>#REF!</v>
      </c>
      <c r="H54" t="e">
        <f>TEXT(#REF!,"DDD")</f>
        <v>#REF!</v>
      </c>
      <c r="I54" t="e">
        <f>DATEDIF(#REF!,#REF!,"D")</f>
        <v>#REF!</v>
      </c>
      <c r="J54" s="7" t="e">
        <f>ROUND(Table2[[#This Row],[Quantity]]*Table2[[#This Row],[Unit Price]]*VLOOKUP(#REF!,Table_1[#All],2,FALSE),0)</f>
        <v>#REF!</v>
      </c>
      <c r="K54" s="7">
        <f>Table2[[#This Row],[Quantity]]*Table2[[#This Row],[Unit Price]]</f>
        <v>6419</v>
      </c>
      <c r="L54" s="7" t="e">
        <f>Table2[[#This Row],[Sales Revenue]]-Table2[[#This Row],[Total Cost After Product Percentage Calc]]</f>
        <v>#REF!</v>
      </c>
    </row>
    <row r="55" spans="1:12" ht="14.25" customHeight="1" x14ac:dyDescent="0.3">
      <c r="A55" s="1">
        <v>4</v>
      </c>
      <c r="B55" s="1">
        <v>161</v>
      </c>
      <c r="C55" s="1" t="s">
        <v>10</v>
      </c>
      <c r="D55" s="1" t="s">
        <v>24</v>
      </c>
      <c r="E55" s="1" t="s">
        <v>30</v>
      </c>
      <c r="F55" t="e">
        <f>TEXT(#REF!,"YYY")</f>
        <v>#REF!</v>
      </c>
      <c r="G55" t="e">
        <f>TEXT(#REF!,"MMM")</f>
        <v>#REF!</v>
      </c>
      <c r="H55" t="e">
        <f>TEXT(#REF!,"DDD")</f>
        <v>#REF!</v>
      </c>
      <c r="I55" t="e">
        <f>DATEDIF(#REF!,#REF!,"D")</f>
        <v>#REF!</v>
      </c>
      <c r="J55" s="7" t="e">
        <f>ROUND(Table2[[#This Row],[Quantity]]*Table2[[#This Row],[Unit Price]]*VLOOKUP(#REF!,Table_1[#All],2,FALSE),0)</f>
        <v>#REF!</v>
      </c>
      <c r="K55" s="7">
        <f>Table2[[#This Row],[Quantity]]*Table2[[#This Row],[Unit Price]]</f>
        <v>644</v>
      </c>
      <c r="L55" s="7" t="e">
        <f>Table2[[#This Row],[Sales Revenue]]-Table2[[#This Row],[Total Cost After Product Percentage Calc]]</f>
        <v>#REF!</v>
      </c>
    </row>
    <row r="56" spans="1:12" ht="14.25" customHeight="1" x14ac:dyDescent="0.3">
      <c r="A56" s="1">
        <v>9</v>
      </c>
      <c r="B56" s="1">
        <v>485</v>
      </c>
      <c r="C56" s="1" t="s">
        <v>10</v>
      </c>
      <c r="D56" s="1" t="s">
        <v>11</v>
      </c>
      <c r="E56" s="1" t="s">
        <v>14</v>
      </c>
      <c r="F56" t="e">
        <f>TEXT(#REF!,"YYY")</f>
        <v>#REF!</v>
      </c>
      <c r="G56" t="e">
        <f>TEXT(#REF!,"MMM")</f>
        <v>#REF!</v>
      </c>
      <c r="H56" t="e">
        <f>TEXT(#REF!,"DDD")</f>
        <v>#REF!</v>
      </c>
      <c r="I56" t="e">
        <f>DATEDIF(#REF!,#REF!,"D")</f>
        <v>#REF!</v>
      </c>
      <c r="J56" s="7" t="e">
        <f>ROUND(Table2[[#This Row],[Quantity]]*Table2[[#This Row],[Unit Price]]*VLOOKUP(#REF!,Table_1[#All],2,FALSE),0)</f>
        <v>#REF!</v>
      </c>
      <c r="K56" s="7">
        <f>Table2[[#This Row],[Quantity]]*Table2[[#This Row],[Unit Price]]</f>
        <v>4365</v>
      </c>
      <c r="L56" s="7" t="e">
        <f>Table2[[#This Row],[Sales Revenue]]-Table2[[#This Row],[Total Cost After Product Percentage Calc]]</f>
        <v>#REF!</v>
      </c>
    </row>
    <row r="57" spans="1:12" ht="14.25" customHeight="1" x14ac:dyDescent="0.3">
      <c r="A57" s="1">
        <v>8</v>
      </c>
      <c r="B57" s="1">
        <v>693</v>
      </c>
      <c r="C57" s="1" t="s">
        <v>20</v>
      </c>
      <c r="D57" s="1" t="s">
        <v>24</v>
      </c>
      <c r="E57" s="1" t="s">
        <v>12</v>
      </c>
      <c r="F57" t="e">
        <f>TEXT(#REF!,"YYY")</f>
        <v>#REF!</v>
      </c>
      <c r="G57" t="e">
        <f>TEXT(#REF!,"MMM")</f>
        <v>#REF!</v>
      </c>
      <c r="H57" t="e">
        <f>TEXT(#REF!,"DDD")</f>
        <v>#REF!</v>
      </c>
      <c r="I57" t="e">
        <f>DATEDIF(#REF!,#REF!,"D")</f>
        <v>#REF!</v>
      </c>
      <c r="J57" s="7" t="e">
        <f>ROUND(Table2[[#This Row],[Quantity]]*Table2[[#This Row],[Unit Price]]*VLOOKUP(#REF!,Table_1[#All],2,FALSE),0)</f>
        <v>#REF!</v>
      </c>
      <c r="K57" s="7">
        <f>Table2[[#This Row],[Quantity]]*Table2[[#This Row],[Unit Price]]</f>
        <v>5544</v>
      </c>
      <c r="L57" s="7" t="e">
        <f>Table2[[#This Row],[Sales Revenue]]-Table2[[#This Row],[Total Cost After Product Percentage Calc]]</f>
        <v>#REF!</v>
      </c>
    </row>
    <row r="58" spans="1:12" ht="14.25" customHeight="1" x14ac:dyDescent="0.3">
      <c r="A58" s="1">
        <v>5</v>
      </c>
      <c r="B58" s="1">
        <v>779</v>
      </c>
      <c r="C58" s="1" t="s">
        <v>20</v>
      </c>
      <c r="D58" s="1" t="s">
        <v>11</v>
      </c>
      <c r="E58" s="1" t="s">
        <v>22</v>
      </c>
      <c r="F58" t="e">
        <f>TEXT(#REF!,"YYY")</f>
        <v>#REF!</v>
      </c>
      <c r="G58" t="e">
        <f>TEXT(#REF!,"MMM")</f>
        <v>#REF!</v>
      </c>
      <c r="H58" t="e">
        <f>TEXT(#REF!,"DDD")</f>
        <v>#REF!</v>
      </c>
      <c r="I58" t="e">
        <f>DATEDIF(#REF!,#REF!,"D")</f>
        <v>#REF!</v>
      </c>
      <c r="J58" s="7" t="e">
        <f>ROUND(Table2[[#This Row],[Quantity]]*Table2[[#This Row],[Unit Price]]*VLOOKUP(#REF!,Table_1[#All],2,FALSE),0)</f>
        <v>#REF!</v>
      </c>
      <c r="K58" s="7">
        <f>Table2[[#This Row],[Quantity]]*Table2[[#This Row],[Unit Price]]</f>
        <v>3895</v>
      </c>
      <c r="L58" s="7" t="e">
        <f>Table2[[#This Row],[Sales Revenue]]-Table2[[#This Row],[Total Cost After Product Percentage Calc]]</f>
        <v>#REF!</v>
      </c>
    </row>
    <row r="59" spans="1:12" ht="14.25" customHeight="1" x14ac:dyDescent="0.3">
      <c r="A59" s="1">
        <v>8</v>
      </c>
      <c r="B59" s="1">
        <v>89</v>
      </c>
      <c r="C59" s="1" t="s">
        <v>10</v>
      </c>
      <c r="D59" s="1" t="s">
        <v>24</v>
      </c>
      <c r="E59" s="1" t="s">
        <v>14</v>
      </c>
      <c r="F59" t="e">
        <f>TEXT(#REF!,"YYY")</f>
        <v>#REF!</v>
      </c>
      <c r="G59" t="e">
        <f>TEXT(#REF!,"MMM")</f>
        <v>#REF!</v>
      </c>
      <c r="H59" t="e">
        <f>TEXT(#REF!,"DDD")</f>
        <v>#REF!</v>
      </c>
      <c r="I59" t="e">
        <f>DATEDIF(#REF!,#REF!,"D")</f>
        <v>#REF!</v>
      </c>
      <c r="J59" s="7" t="e">
        <f>ROUND(Table2[[#This Row],[Quantity]]*Table2[[#This Row],[Unit Price]]*VLOOKUP(#REF!,Table_1[#All],2,FALSE),0)</f>
        <v>#REF!</v>
      </c>
      <c r="K59" s="7">
        <f>Table2[[#This Row],[Quantity]]*Table2[[#This Row],[Unit Price]]</f>
        <v>712</v>
      </c>
      <c r="L59" s="7" t="e">
        <f>Table2[[#This Row],[Sales Revenue]]-Table2[[#This Row],[Total Cost After Product Percentage Calc]]</f>
        <v>#REF!</v>
      </c>
    </row>
    <row r="60" spans="1:12" ht="14.25" customHeight="1" x14ac:dyDescent="0.3">
      <c r="A60" s="1">
        <v>9</v>
      </c>
      <c r="B60" s="1">
        <v>92</v>
      </c>
      <c r="C60" s="1" t="s">
        <v>10</v>
      </c>
      <c r="D60" s="1" t="s">
        <v>11</v>
      </c>
      <c r="E60" s="1" t="s">
        <v>14</v>
      </c>
      <c r="F60" t="e">
        <f>TEXT(#REF!,"YYY")</f>
        <v>#REF!</v>
      </c>
      <c r="G60" t="e">
        <f>TEXT(#REF!,"MMM")</f>
        <v>#REF!</v>
      </c>
      <c r="H60" t="e">
        <f>TEXT(#REF!,"DDD")</f>
        <v>#REF!</v>
      </c>
      <c r="I60" t="e">
        <f>DATEDIF(#REF!,#REF!,"D")</f>
        <v>#REF!</v>
      </c>
      <c r="J60" s="7" t="e">
        <f>ROUND(Table2[[#This Row],[Quantity]]*Table2[[#This Row],[Unit Price]]*VLOOKUP(#REF!,Table_1[#All],2,FALSE),0)</f>
        <v>#REF!</v>
      </c>
      <c r="K60" s="7">
        <f>Table2[[#This Row],[Quantity]]*Table2[[#This Row],[Unit Price]]</f>
        <v>828</v>
      </c>
      <c r="L60" s="7" t="e">
        <f>Table2[[#This Row],[Sales Revenue]]-Table2[[#This Row],[Total Cost After Product Percentage Calc]]</f>
        <v>#REF!</v>
      </c>
    </row>
    <row r="61" spans="1:12" ht="14.25" customHeight="1" x14ac:dyDescent="0.3">
      <c r="A61" s="1">
        <v>8</v>
      </c>
      <c r="B61" s="1">
        <v>39</v>
      </c>
      <c r="C61" s="1" t="s">
        <v>20</v>
      </c>
      <c r="D61" s="1" t="s">
        <v>21</v>
      </c>
      <c r="E61" s="1" t="s">
        <v>14</v>
      </c>
      <c r="F61" t="e">
        <f>TEXT(#REF!,"YYY")</f>
        <v>#REF!</v>
      </c>
      <c r="G61" t="e">
        <f>TEXT(#REF!,"MMM")</f>
        <v>#REF!</v>
      </c>
      <c r="H61" t="e">
        <f>TEXT(#REF!,"DDD")</f>
        <v>#REF!</v>
      </c>
      <c r="I61" t="e">
        <f>DATEDIF(#REF!,#REF!,"D")</f>
        <v>#REF!</v>
      </c>
      <c r="J61" s="7" t="e">
        <f>ROUND(Table2[[#This Row],[Quantity]]*Table2[[#This Row],[Unit Price]]*VLOOKUP(#REF!,Table_1[#All],2,FALSE),0)</f>
        <v>#REF!</v>
      </c>
      <c r="K61" s="7">
        <f>Table2[[#This Row],[Quantity]]*Table2[[#This Row],[Unit Price]]</f>
        <v>312</v>
      </c>
      <c r="L61" s="7" t="e">
        <f>Table2[[#This Row],[Sales Revenue]]-Table2[[#This Row],[Total Cost After Product Percentage Calc]]</f>
        <v>#REF!</v>
      </c>
    </row>
    <row r="62" spans="1:12" ht="14.25" customHeight="1" x14ac:dyDescent="0.3">
      <c r="A62" s="1">
        <v>1</v>
      </c>
      <c r="B62" s="1">
        <v>95</v>
      </c>
      <c r="C62" s="1" t="s">
        <v>10</v>
      </c>
      <c r="D62" s="1" t="s">
        <v>24</v>
      </c>
      <c r="E62" s="1" t="s">
        <v>12</v>
      </c>
      <c r="F62" t="e">
        <f>TEXT(#REF!,"YYY")</f>
        <v>#REF!</v>
      </c>
      <c r="G62" t="e">
        <f>TEXT(#REF!,"MMM")</f>
        <v>#REF!</v>
      </c>
      <c r="H62" t="e">
        <f>TEXT(#REF!,"DDD")</f>
        <v>#REF!</v>
      </c>
      <c r="I62" t="e">
        <f>DATEDIF(#REF!,#REF!,"D")</f>
        <v>#REF!</v>
      </c>
      <c r="J62" s="7" t="e">
        <f>ROUND(Table2[[#This Row],[Quantity]]*Table2[[#This Row],[Unit Price]]*VLOOKUP(#REF!,Table_1[#All],2,FALSE),0)</f>
        <v>#REF!</v>
      </c>
      <c r="K62" s="7">
        <f>Table2[[#This Row],[Quantity]]*Table2[[#This Row],[Unit Price]]</f>
        <v>95</v>
      </c>
      <c r="L62" s="7" t="e">
        <f>Table2[[#This Row],[Sales Revenue]]-Table2[[#This Row],[Total Cost After Product Percentage Calc]]</f>
        <v>#REF!</v>
      </c>
    </row>
    <row r="63" spans="1:12" ht="14.25" customHeight="1" x14ac:dyDescent="0.3">
      <c r="A63" s="1">
        <v>9</v>
      </c>
      <c r="B63" s="1">
        <v>63</v>
      </c>
      <c r="C63" s="1" t="s">
        <v>20</v>
      </c>
      <c r="D63" s="1" t="s">
        <v>31</v>
      </c>
      <c r="E63" s="1" t="s">
        <v>12</v>
      </c>
      <c r="F63" t="e">
        <f>TEXT(#REF!,"YYY")</f>
        <v>#REF!</v>
      </c>
      <c r="G63" t="e">
        <f>TEXT(#REF!,"MMM")</f>
        <v>#REF!</v>
      </c>
      <c r="H63" t="e">
        <f>TEXT(#REF!,"DDD")</f>
        <v>#REF!</v>
      </c>
      <c r="I63" t="e">
        <f>DATEDIF(#REF!,#REF!,"D")</f>
        <v>#REF!</v>
      </c>
      <c r="J63" s="7" t="e">
        <f>ROUND(Table2[[#This Row],[Quantity]]*Table2[[#This Row],[Unit Price]]*VLOOKUP(#REF!,Table_1[#All],2,FALSE),0)</f>
        <v>#REF!</v>
      </c>
      <c r="K63" s="7">
        <f>Table2[[#This Row],[Quantity]]*Table2[[#This Row],[Unit Price]]</f>
        <v>567</v>
      </c>
      <c r="L63" s="7" t="e">
        <f>Table2[[#This Row],[Sales Revenue]]-Table2[[#This Row],[Total Cost After Product Percentage Calc]]</f>
        <v>#REF!</v>
      </c>
    </row>
    <row r="64" spans="1:12" ht="14.25" customHeight="1" x14ac:dyDescent="0.3">
      <c r="A64" s="1">
        <v>4</v>
      </c>
      <c r="B64" s="1">
        <v>214</v>
      </c>
      <c r="C64" s="1" t="s">
        <v>20</v>
      </c>
      <c r="D64" s="1" t="s">
        <v>16</v>
      </c>
      <c r="E64" s="1" t="s">
        <v>12</v>
      </c>
      <c r="F64" t="e">
        <f>TEXT(#REF!,"YYY")</f>
        <v>#REF!</v>
      </c>
      <c r="G64" t="e">
        <f>TEXT(#REF!,"MMM")</f>
        <v>#REF!</v>
      </c>
      <c r="H64" t="e">
        <f>TEXT(#REF!,"DDD")</f>
        <v>#REF!</v>
      </c>
      <c r="I64" t="e">
        <f>DATEDIF(#REF!,#REF!,"D")</f>
        <v>#REF!</v>
      </c>
      <c r="J64" s="7" t="e">
        <f>ROUND(Table2[[#This Row],[Quantity]]*Table2[[#This Row],[Unit Price]]*VLOOKUP(#REF!,Table_1[#All],2,FALSE),0)</f>
        <v>#REF!</v>
      </c>
      <c r="K64" s="7">
        <f>Table2[[#This Row],[Quantity]]*Table2[[#This Row],[Unit Price]]</f>
        <v>856</v>
      </c>
      <c r="L64" s="7" t="e">
        <f>Table2[[#This Row],[Sales Revenue]]-Table2[[#This Row],[Total Cost After Product Percentage Calc]]</f>
        <v>#REF!</v>
      </c>
    </row>
    <row r="65" spans="1:12" ht="14.25" customHeight="1" x14ac:dyDescent="0.3">
      <c r="A65" s="1">
        <v>8</v>
      </c>
      <c r="B65" s="1">
        <v>695</v>
      </c>
      <c r="C65" s="1" t="s">
        <v>10</v>
      </c>
      <c r="D65" s="1" t="s">
        <v>11</v>
      </c>
      <c r="E65" s="1" t="s">
        <v>14</v>
      </c>
      <c r="F65" t="e">
        <f>TEXT(#REF!,"YYY")</f>
        <v>#REF!</v>
      </c>
      <c r="G65" t="e">
        <f>TEXT(#REF!,"MMM")</f>
        <v>#REF!</v>
      </c>
      <c r="H65" t="e">
        <f>TEXT(#REF!,"DDD")</f>
        <v>#REF!</v>
      </c>
      <c r="I65" t="e">
        <f>DATEDIF(#REF!,#REF!,"D")</f>
        <v>#REF!</v>
      </c>
      <c r="J65" s="7" t="e">
        <f>ROUND(Table2[[#This Row],[Quantity]]*Table2[[#This Row],[Unit Price]]*VLOOKUP(#REF!,Table_1[#All],2,FALSE),0)</f>
        <v>#REF!</v>
      </c>
      <c r="K65" s="7">
        <f>Table2[[#This Row],[Quantity]]*Table2[[#This Row],[Unit Price]]</f>
        <v>5560</v>
      </c>
      <c r="L65" s="7" t="e">
        <f>Table2[[#This Row],[Sales Revenue]]-Table2[[#This Row],[Total Cost After Product Percentage Calc]]</f>
        <v>#REF!</v>
      </c>
    </row>
    <row r="66" spans="1:12" ht="14.25" customHeight="1" x14ac:dyDescent="0.3">
      <c r="A66" s="1">
        <v>3</v>
      </c>
      <c r="B66" s="1">
        <v>630</v>
      </c>
      <c r="C66" s="1" t="s">
        <v>10</v>
      </c>
      <c r="D66" s="1" t="s">
        <v>24</v>
      </c>
      <c r="E66" s="1" t="s">
        <v>12</v>
      </c>
      <c r="F66" t="e">
        <f>TEXT(#REF!,"YYY")</f>
        <v>#REF!</v>
      </c>
      <c r="G66" t="e">
        <f>TEXT(#REF!,"MMM")</f>
        <v>#REF!</v>
      </c>
      <c r="H66" t="e">
        <f>TEXT(#REF!,"DDD")</f>
        <v>#REF!</v>
      </c>
      <c r="I66" t="e">
        <f>DATEDIF(#REF!,#REF!,"D")</f>
        <v>#REF!</v>
      </c>
      <c r="J66" s="7" t="e">
        <f>ROUND(Table2[[#This Row],[Quantity]]*Table2[[#This Row],[Unit Price]]*VLOOKUP(#REF!,Table_1[#All],2,FALSE),0)</f>
        <v>#REF!</v>
      </c>
      <c r="K66" s="7">
        <f>Table2[[#This Row],[Quantity]]*Table2[[#This Row],[Unit Price]]</f>
        <v>1890</v>
      </c>
      <c r="L66" s="7" t="e">
        <f>Table2[[#This Row],[Sales Revenue]]-Table2[[#This Row],[Total Cost After Product Percentage Calc]]</f>
        <v>#REF!</v>
      </c>
    </row>
    <row r="67" spans="1:12" ht="14.25" customHeight="1" x14ac:dyDescent="0.3">
      <c r="A67" s="1">
        <v>1</v>
      </c>
      <c r="B67" s="1">
        <v>961</v>
      </c>
      <c r="C67" s="1" t="s">
        <v>20</v>
      </c>
      <c r="D67" s="1" t="s">
        <v>31</v>
      </c>
      <c r="E67" s="1" t="s">
        <v>12</v>
      </c>
      <c r="F67" t="e">
        <f>TEXT(#REF!,"YYY")</f>
        <v>#REF!</v>
      </c>
      <c r="G67" t="e">
        <f>TEXT(#REF!,"MMM")</f>
        <v>#REF!</v>
      </c>
      <c r="H67" t="e">
        <f>TEXT(#REF!,"DDD")</f>
        <v>#REF!</v>
      </c>
      <c r="I67" t="e">
        <f>DATEDIF(#REF!,#REF!,"D")</f>
        <v>#REF!</v>
      </c>
      <c r="J67" s="7" t="e">
        <f>ROUND(Table2[[#This Row],[Quantity]]*Table2[[#This Row],[Unit Price]]*VLOOKUP(#REF!,Table_1[#All],2,FALSE),0)</f>
        <v>#REF!</v>
      </c>
      <c r="K67" s="7">
        <f>Table2[[#This Row],[Quantity]]*Table2[[#This Row],[Unit Price]]</f>
        <v>961</v>
      </c>
      <c r="L67" s="7" t="e">
        <f>Table2[[#This Row],[Sales Revenue]]-Table2[[#This Row],[Total Cost After Product Percentage Calc]]</f>
        <v>#REF!</v>
      </c>
    </row>
    <row r="68" spans="1:12" ht="14.25" customHeight="1" x14ac:dyDescent="0.3">
      <c r="A68" s="1">
        <v>2</v>
      </c>
      <c r="B68" s="1">
        <v>616</v>
      </c>
      <c r="C68" s="1" t="s">
        <v>10</v>
      </c>
      <c r="D68" s="1" t="s">
        <v>24</v>
      </c>
      <c r="E68" s="1" t="s">
        <v>12</v>
      </c>
      <c r="F68" t="e">
        <f>TEXT(#REF!,"YYY")</f>
        <v>#REF!</v>
      </c>
      <c r="G68" t="e">
        <f>TEXT(#REF!,"MMM")</f>
        <v>#REF!</v>
      </c>
      <c r="H68" t="e">
        <f>TEXT(#REF!,"DDD")</f>
        <v>#REF!</v>
      </c>
      <c r="I68" t="e">
        <f>DATEDIF(#REF!,#REF!,"D")</f>
        <v>#REF!</v>
      </c>
      <c r="J68" s="7" t="e">
        <f>ROUND(Table2[[#This Row],[Quantity]]*Table2[[#This Row],[Unit Price]]*VLOOKUP(#REF!,Table_1[#All],2,FALSE),0)</f>
        <v>#REF!</v>
      </c>
      <c r="K68" s="7">
        <f>Table2[[#This Row],[Quantity]]*Table2[[#This Row],[Unit Price]]</f>
        <v>1232</v>
      </c>
      <c r="L68" s="7" t="e">
        <f>Table2[[#This Row],[Sales Revenue]]-Table2[[#This Row],[Total Cost After Product Percentage Calc]]</f>
        <v>#REF!</v>
      </c>
    </row>
    <row r="69" spans="1:12" ht="14.25" customHeight="1" x14ac:dyDescent="0.3">
      <c r="A69" s="1">
        <v>10</v>
      </c>
      <c r="B69" s="1">
        <v>811</v>
      </c>
      <c r="C69" s="1" t="s">
        <v>20</v>
      </c>
      <c r="D69" s="1" t="s">
        <v>11</v>
      </c>
      <c r="E69" s="1" t="s">
        <v>12</v>
      </c>
      <c r="F69" t="e">
        <f>TEXT(#REF!,"YYY")</f>
        <v>#REF!</v>
      </c>
      <c r="G69" t="e">
        <f>TEXT(#REF!,"MMM")</f>
        <v>#REF!</v>
      </c>
      <c r="H69" t="e">
        <f>TEXT(#REF!,"DDD")</f>
        <v>#REF!</v>
      </c>
      <c r="I69" t="e">
        <f>DATEDIF(#REF!,#REF!,"D")</f>
        <v>#REF!</v>
      </c>
      <c r="J69" s="7" t="e">
        <f>ROUND(Table2[[#This Row],[Quantity]]*Table2[[#This Row],[Unit Price]]*VLOOKUP(#REF!,Table_1[#All],2,FALSE),0)</f>
        <v>#REF!</v>
      </c>
      <c r="K69" s="7">
        <f>Table2[[#This Row],[Quantity]]*Table2[[#This Row],[Unit Price]]</f>
        <v>8110</v>
      </c>
      <c r="L69" s="7" t="e">
        <f>Table2[[#This Row],[Sales Revenue]]-Table2[[#This Row],[Total Cost After Product Percentage Calc]]</f>
        <v>#REF!</v>
      </c>
    </row>
    <row r="70" spans="1:12" ht="14.25" customHeight="1" x14ac:dyDescent="0.3">
      <c r="A70" s="1">
        <v>6</v>
      </c>
      <c r="B70" s="1">
        <v>660</v>
      </c>
      <c r="C70" s="1" t="s">
        <v>20</v>
      </c>
      <c r="D70" s="1" t="s">
        <v>16</v>
      </c>
      <c r="E70" s="1" t="s">
        <v>14</v>
      </c>
      <c r="F70" t="e">
        <f>TEXT(#REF!,"YYY")</f>
        <v>#REF!</v>
      </c>
      <c r="G70" t="e">
        <f>TEXT(#REF!,"MMM")</f>
        <v>#REF!</v>
      </c>
      <c r="H70" t="e">
        <f>TEXT(#REF!,"DDD")</f>
        <v>#REF!</v>
      </c>
      <c r="I70" t="e">
        <f>DATEDIF(#REF!,#REF!,"D")</f>
        <v>#REF!</v>
      </c>
      <c r="J70" s="7" t="e">
        <f>ROUND(Table2[[#This Row],[Quantity]]*Table2[[#This Row],[Unit Price]]*VLOOKUP(#REF!,Table_1[#All],2,FALSE),0)</f>
        <v>#REF!</v>
      </c>
      <c r="K70" s="7">
        <f>Table2[[#This Row],[Quantity]]*Table2[[#This Row],[Unit Price]]</f>
        <v>3960</v>
      </c>
      <c r="L70" s="7" t="e">
        <f>Table2[[#This Row],[Sales Revenue]]-Table2[[#This Row],[Total Cost After Product Percentage Calc]]</f>
        <v>#REF!</v>
      </c>
    </row>
    <row r="71" spans="1:12" ht="14.25" customHeight="1" x14ac:dyDescent="0.3">
      <c r="A71" s="1">
        <v>9</v>
      </c>
      <c r="B71" s="1">
        <v>998</v>
      </c>
      <c r="C71" s="1" t="s">
        <v>20</v>
      </c>
      <c r="D71" s="1" t="s">
        <v>24</v>
      </c>
      <c r="E71" s="1" t="s">
        <v>22</v>
      </c>
      <c r="F71" t="e">
        <f>TEXT(#REF!,"YYY")</f>
        <v>#REF!</v>
      </c>
      <c r="G71" t="e">
        <f>TEXT(#REF!,"MMM")</f>
        <v>#REF!</v>
      </c>
      <c r="H71" t="e">
        <f>TEXT(#REF!,"DDD")</f>
        <v>#REF!</v>
      </c>
      <c r="I71" t="e">
        <f>DATEDIF(#REF!,#REF!,"D")</f>
        <v>#REF!</v>
      </c>
      <c r="J71" s="7" t="e">
        <f>ROUND(Table2[[#This Row],[Quantity]]*Table2[[#This Row],[Unit Price]]*VLOOKUP(#REF!,Table_1[#All],2,FALSE),0)</f>
        <v>#REF!</v>
      </c>
      <c r="K71" s="7">
        <f>Table2[[#This Row],[Quantity]]*Table2[[#This Row],[Unit Price]]</f>
        <v>8982</v>
      </c>
      <c r="L71" s="7" t="e">
        <f>Table2[[#This Row],[Sales Revenue]]-Table2[[#This Row],[Total Cost After Product Percentage Calc]]</f>
        <v>#REF!</v>
      </c>
    </row>
    <row r="72" spans="1:12" ht="14.25" customHeight="1" x14ac:dyDescent="0.3">
      <c r="A72" s="1">
        <v>1</v>
      </c>
      <c r="B72" s="1">
        <v>539</v>
      </c>
      <c r="C72" s="1" t="s">
        <v>10</v>
      </c>
      <c r="D72" s="1" t="s">
        <v>11</v>
      </c>
      <c r="E72" s="1" t="s">
        <v>30</v>
      </c>
      <c r="F72" t="e">
        <f>TEXT(#REF!,"YYY")</f>
        <v>#REF!</v>
      </c>
      <c r="G72" t="e">
        <f>TEXT(#REF!,"MMM")</f>
        <v>#REF!</v>
      </c>
      <c r="H72" t="e">
        <f>TEXT(#REF!,"DDD")</f>
        <v>#REF!</v>
      </c>
      <c r="I72" t="e">
        <f>DATEDIF(#REF!,#REF!,"D")</f>
        <v>#REF!</v>
      </c>
      <c r="J72" s="7" t="e">
        <f>ROUND(Table2[[#This Row],[Quantity]]*Table2[[#This Row],[Unit Price]]*VLOOKUP(#REF!,Table_1[#All],2,FALSE),0)</f>
        <v>#REF!</v>
      </c>
      <c r="K72" s="7">
        <f>Table2[[#This Row],[Quantity]]*Table2[[#This Row],[Unit Price]]</f>
        <v>539</v>
      </c>
      <c r="L72" s="7" t="e">
        <f>Table2[[#This Row],[Sales Revenue]]-Table2[[#This Row],[Total Cost After Product Percentage Calc]]</f>
        <v>#REF!</v>
      </c>
    </row>
    <row r="73" spans="1:12" ht="14.25" customHeight="1" x14ac:dyDescent="0.3">
      <c r="A73" s="1">
        <v>9</v>
      </c>
      <c r="B73" s="1">
        <v>553</v>
      </c>
      <c r="C73" s="1" t="s">
        <v>20</v>
      </c>
      <c r="D73" s="1" t="s">
        <v>31</v>
      </c>
      <c r="E73" s="1" t="s">
        <v>30</v>
      </c>
      <c r="F73" t="e">
        <f>TEXT(#REF!,"YYY")</f>
        <v>#REF!</v>
      </c>
      <c r="G73" t="e">
        <f>TEXT(#REF!,"MMM")</f>
        <v>#REF!</v>
      </c>
      <c r="H73" t="e">
        <f>TEXT(#REF!,"DDD")</f>
        <v>#REF!</v>
      </c>
      <c r="I73" t="e">
        <f>DATEDIF(#REF!,#REF!,"D")</f>
        <v>#REF!</v>
      </c>
      <c r="J73" s="7" t="e">
        <f>ROUND(Table2[[#This Row],[Quantity]]*Table2[[#This Row],[Unit Price]]*VLOOKUP(#REF!,Table_1[#All],2,FALSE),0)</f>
        <v>#REF!</v>
      </c>
      <c r="K73" s="7">
        <f>Table2[[#This Row],[Quantity]]*Table2[[#This Row],[Unit Price]]</f>
        <v>4977</v>
      </c>
      <c r="L73" s="7" t="e">
        <f>Table2[[#This Row],[Sales Revenue]]-Table2[[#This Row],[Total Cost After Product Percentage Calc]]</f>
        <v>#REF!</v>
      </c>
    </row>
    <row r="74" spans="1:12" ht="14.25" customHeight="1" x14ac:dyDescent="0.3">
      <c r="A74" s="1">
        <v>8</v>
      </c>
      <c r="B74" s="1">
        <v>287</v>
      </c>
      <c r="C74" s="1" t="s">
        <v>10</v>
      </c>
      <c r="D74" s="1" t="s">
        <v>31</v>
      </c>
      <c r="E74" s="1" t="s">
        <v>22</v>
      </c>
      <c r="F74" t="e">
        <f>TEXT(#REF!,"YYY")</f>
        <v>#REF!</v>
      </c>
      <c r="G74" t="e">
        <f>TEXT(#REF!,"MMM")</f>
        <v>#REF!</v>
      </c>
      <c r="H74" t="e">
        <f>TEXT(#REF!,"DDD")</f>
        <v>#REF!</v>
      </c>
      <c r="I74" t="e">
        <f>DATEDIF(#REF!,#REF!,"D")</f>
        <v>#REF!</v>
      </c>
      <c r="J74" s="7" t="e">
        <f>ROUND(Table2[[#This Row],[Quantity]]*Table2[[#This Row],[Unit Price]]*VLOOKUP(#REF!,Table_1[#All],2,FALSE),0)</f>
        <v>#REF!</v>
      </c>
      <c r="K74" s="7">
        <f>Table2[[#This Row],[Quantity]]*Table2[[#This Row],[Unit Price]]</f>
        <v>2296</v>
      </c>
      <c r="L74" s="7" t="e">
        <f>Table2[[#This Row],[Sales Revenue]]-Table2[[#This Row],[Total Cost After Product Percentage Calc]]</f>
        <v>#REF!</v>
      </c>
    </row>
    <row r="75" spans="1:12" ht="14.25" customHeight="1" x14ac:dyDescent="0.3">
      <c r="A75" s="1">
        <v>2</v>
      </c>
      <c r="B75" s="1">
        <v>770</v>
      </c>
      <c r="C75" s="1" t="s">
        <v>10</v>
      </c>
      <c r="D75" s="1" t="s">
        <v>24</v>
      </c>
      <c r="E75" s="1" t="s">
        <v>30</v>
      </c>
      <c r="F75" t="e">
        <f>TEXT(#REF!,"YYY")</f>
        <v>#REF!</v>
      </c>
      <c r="G75" t="e">
        <f>TEXT(#REF!,"MMM")</f>
        <v>#REF!</v>
      </c>
      <c r="H75" t="e">
        <f>TEXT(#REF!,"DDD")</f>
        <v>#REF!</v>
      </c>
      <c r="I75" t="e">
        <f>DATEDIF(#REF!,#REF!,"D")</f>
        <v>#REF!</v>
      </c>
      <c r="J75" s="7" t="e">
        <f>ROUND(Table2[[#This Row],[Quantity]]*Table2[[#This Row],[Unit Price]]*VLOOKUP(#REF!,Table_1[#All],2,FALSE),0)</f>
        <v>#REF!</v>
      </c>
      <c r="K75" s="7">
        <f>Table2[[#This Row],[Quantity]]*Table2[[#This Row],[Unit Price]]</f>
        <v>1540</v>
      </c>
      <c r="L75" s="7" t="e">
        <f>Table2[[#This Row],[Sales Revenue]]-Table2[[#This Row],[Total Cost After Product Percentage Calc]]</f>
        <v>#REF!</v>
      </c>
    </row>
    <row r="76" spans="1:12" ht="14.25" customHeight="1" x14ac:dyDescent="0.3">
      <c r="A76" s="1">
        <v>4</v>
      </c>
      <c r="B76" s="1">
        <v>379</v>
      </c>
      <c r="C76" s="1" t="s">
        <v>10</v>
      </c>
      <c r="D76" s="1" t="s">
        <v>11</v>
      </c>
      <c r="E76" s="1" t="s">
        <v>22</v>
      </c>
      <c r="F76" t="e">
        <f>TEXT(#REF!,"YYY")</f>
        <v>#REF!</v>
      </c>
      <c r="G76" t="e">
        <f>TEXT(#REF!,"MMM")</f>
        <v>#REF!</v>
      </c>
      <c r="H76" t="e">
        <f>TEXT(#REF!,"DDD")</f>
        <v>#REF!</v>
      </c>
      <c r="I76" t="e">
        <f>DATEDIF(#REF!,#REF!,"D")</f>
        <v>#REF!</v>
      </c>
      <c r="J76" s="7" t="e">
        <f>ROUND(Table2[[#This Row],[Quantity]]*Table2[[#This Row],[Unit Price]]*VLOOKUP(#REF!,Table_1[#All],2,FALSE),0)</f>
        <v>#REF!</v>
      </c>
      <c r="K76" s="7">
        <f>Table2[[#This Row],[Quantity]]*Table2[[#This Row],[Unit Price]]</f>
        <v>1516</v>
      </c>
      <c r="L76" s="7" t="e">
        <f>Table2[[#This Row],[Sales Revenue]]-Table2[[#This Row],[Total Cost After Product Percentage Calc]]</f>
        <v>#REF!</v>
      </c>
    </row>
    <row r="77" spans="1:12" ht="14.25" customHeight="1" x14ac:dyDescent="0.3">
      <c r="A77" s="1">
        <v>1</v>
      </c>
      <c r="B77" s="1">
        <v>65</v>
      </c>
      <c r="C77" s="1" t="s">
        <v>20</v>
      </c>
      <c r="D77" s="1" t="s">
        <v>24</v>
      </c>
      <c r="E77" s="1" t="s">
        <v>22</v>
      </c>
      <c r="F77" t="e">
        <f>TEXT(#REF!,"YYY")</f>
        <v>#REF!</v>
      </c>
      <c r="G77" t="e">
        <f>TEXT(#REF!,"MMM")</f>
        <v>#REF!</v>
      </c>
      <c r="H77" t="e">
        <f>TEXT(#REF!,"DDD")</f>
        <v>#REF!</v>
      </c>
      <c r="I77" t="e">
        <f>DATEDIF(#REF!,#REF!,"D")</f>
        <v>#REF!</v>
      </c>
      <c r="J77" s="7" t="e">
        <f>ROUND(Table2[[#This Row],[Quantity]]*Table2[[#This Row],[Unit Price]]*VLOOKUP(#REF!,Table_1[#All],2,FALSE),0)</f>
        <v>#REF!</v>
      </c>
      <c r="K77" s="7">
        <f>Table2[[#This Row],[Quantity]]*Table2[[#This Row],[Unit Price]]</f>
        <v>65</v>
      </c>
      <c r="L77" s="7" t="e">
        <f>Table2[[#This Row],[Sales Revenue]]-Table2[[#This Row],[Total Cost After Product Percentage Calc]]</f>
        <v>#REF!</v>
      </c>
    </row>
    <row r="78" spans="1:12" ht="14.25" customHeight="1" x14ac:dyDescent="0.3">
      <c r="A78" s="1">
        <v>1</v>
      </c>
      <c r="B78" s="1">
        <v>268</v>
      </c>
      <c r="C78" s="1" t="s">
        <v>10</v>
      </c>
      <c r="D78" s="1" t="s">
        <v>16</v>
      </c>
      <c r="E78" s="1" t="s">
        <v>12</v>
      </c>
      <c r="F78" t="e">
        <f>TEXT(#REF!,"YYY")</f>
        <v>#REF!</v>
      </c>
      <c r="G78" t="e">
        <f>TEXT(#REF!,"MMM")</f>
        <v>#REF!</v>
      </c>
      <c r="H78" t="e">
        <f>TEXT(#REF!,"DDD")</f>
        <v>#REF!</v>
      </c>
      <c r="I78" t="e">
        <f>DATEDIF(#REF!,#REF!,"D")</f>
        <v>#REF!</v>
      </c>
      <c r="J78" s="7" t="e">
        <f>ROUND(Table2[[#This Row],[Quantity]]*Table2[[#This Row],[Unit Price]]*VLOOKUP(#REF!,Table_1[#All],2,FALSE),0)</f>
        <v>#REF!</v>
      </c>
      <c r="K78" s="7">
        <f>Table2[[#This Row],[Quantity]]*Table2[[#This Row],[Unit Price]]</f>
        <v>268</v>
      </c>
      <c r="L78" s="7" t="e">
        <f>Table2[[#This Row],[Sales Revenue]]-Table2[[#This Row],[Total Cost After Product Percentage Calc]]</f>
        <v>#REF!</v>
      </c>
    </row>
    <row r="79" spans="1:12" ht="14.25" customHeight="1" x14ac:dyDescent="0.3">
      <c r="A79" s="1">
        <v>2</v>
      </c>
      <c r="B79" s="1">
        <v>600</v>
      </c>
      <c r="C79" s="1" t="s">
        <v>10</v>
      </c>
      <c r="D79" s="1" t="s">
        <v>24</v>
      </c>
      <c r="E79" s="1" t="s">
        <v>22</v>
      </c>
      <c r="F79" t="e">
        <f>TEXT(#REF!,"YYY")</f>
        <v>#REF!</v>
      </c>
      <c r="G79" t="e">
        <f>TEXT(#REF!,"MMM")</f>
        <v>#REF!</v>
      </c>
      <c r="H79" t="e">
        <f>TEXT(#REF!,"DDD")</f>
        <v>#REF!</v>
      </c>
      <c r="I79" t="e">
        <f>DATEDIF(#REF!,#REF!,"D")</f>
        <v>#REF!</v>
      </c>
      <c r="J79" s="7" t="e">
        <f>ROUND(Table2[[#This Row],[Quantity]]*Table2[[#This Row],[Unit Price]]*VLOOKUP(#REF!,Table_1[#All],2,FALSE),0)</f>
        <v>#REF!</v>
      </c>
      <c r="K79" s="7">
        <f>Table2[[#This Row],[Quantity]]*Table2[[#This Row],[Unit Price]]</f>
        <v>1200</v>
      </c>
      <c r="L79" s="7" t="e">
        <f>Table2[[#This Row],[Sales Revenue]]-Table2[[#This Row],[Total Cost After Product Percentage Calc]]</f>
        <v>#REF!</v>
      </c>
    </row>
    <row r="80" spans="1:12" ht="14.25" customHeight="1" x14ac:dyDescent="0.3">
      <c r="A80" s="1">
        <v>7</v>
      </c>
      <c r="B80" s="1">
        <v>322</v>
      </c>
      <c r="C80" s="1" t="s">
        <v>10</v>
      </c>
      <c r="D80" s="1" t="s">
        <v>24</v>
      </c>
      <c r="E80" s="1" t="s">
        <v>22</v>
      </c>
      <c r="F80" t="e">
        <f>TEXT(#REF!,"YYY")</f>
        <v>#REF!</v>
      </c>
      <c r="G80" t="e">
        <f>TEXT(#REF!,"MMM")</f>
        <v>#REF!</v>
      </c>
      <c r="H80" t="e">
        <f>TEXT(#REF!,"DDD")</f>
        <v>#REF!</v>
      </c>
      <c r="I80" t="e">
        <f>DATEDIF(#REF!,#REF!,"D")</f>
        <v>#REF!</v>
      </c>
      <c r="J80" s="7" t="e">
        <f>ROUND(Table2[[#This Row],[Quantity]]*Table2[[#This Row],[Unit Price]]*VLOOKUP(#REF!,Table_1[#All],2,FALSE),0)</f>
        <v>#REF!</v>
      </c>
      <c r="K80" s="7">
        <f>Table2[[#This Row],[Quantity]]*Table2[[#This Row],[Unit Price]]</f>
        <v>2254</v>
      </c>
      <c r="L80" s="7" t="e">
        <f>Table2[[#This Row],[Sales Revenue]]-Table2[[#This Row],[Total Cost After Product Percentage Calc]]</f>
        <v>#REF!</v>
      </c>
    </row>
    <row r="81" spans="1:12" ht="14.25" customHeight="1" x14ac:dyDescent="0.3">
      <c r="A81" s="1">
        <v>4</v>
      </c>
      <c r="B81" s="1">
        <v>280</v>
      </c>
      <c r="C81" s="1" t="s">
        <v>10</v>
      </c>
      <c r="D81" s="1" t="s">
        <v>24</v>
      </c>
      <c r="E81" s="1" t="s">
        <v>14</v>
      </c>
      <c r="F81" t="e">
        <f>TEXT(#REF!,"YYY")</f>
        <v>#REF!</v>
      </c>
      <c r="G81" t="e">
        <f>TEXT(#REF!,"MMM")</f>
        <v>#REF!</v>
      </c>
      <c r="H81" t="e">
        <f>TEXT(#REF!,"DDD")</f>
        <v>#REF!</v>
      </c>
      <c r="I81" t="e">
        <f>DATEDIF(#REF!,#REF!,"D")</f>
        <v>#REF!</v>
      </c>
      <c r="J81" s="7" t="e">
        <f>ROUND(Table2[[#This Row],[Quantity]]*Table2[[#This Row],[Unit Price]]*VLOOKUP(#REF!,Table_1[#All],2,FALSE),0)</f>
        <v>#REF!</v>
      </c>
      <c r="K81" s="7">
        <f>Table2[[#This Row],[Quantity]]*Table2[[#This Row],[Unit Price]]</f>
        <v>1120</v>
      </c>
      <c r="L81" s="7" t="e">
        <f>Table2[[#This Row],[Sales Revenue]]-Table2[[#This Row],[Total Cost After Product Percentage Calc]]</f>
        <v>#REF!</v>
      </c>
    </row>
    <row r="82" spans="1:12" ht="14.25" customHeight="1" x14ac:dyDescent="0.3">
      <c r="A82" s="1">
        <v>1</v>
      </c>
      <c r="B82" s="1">
        <v>247</v>
      </c>
      <c r="C82" s="1" t="s">
        <v>20</v>
      </c>
      <c r="D82" s="1" t="s">
        <v>31</v>
      </c>
      <c r="E82" s="1" t="s">
        <v>22</v>
      </c>
      <c r="F82" t="e">
        <f>TEXT(#REF!,"YYY")</f>
        <v>#REF!</v>
      </c>
      <c r="G82" t="e">
        <f>TEXT(#REF!,"MMM")</f>
        <v>#REF!</v>
      </c>
      <c r="H82" t="e">
        <f>TEXT(#REF!,"DDD")</f>
        <v>#REF!</v>
      </c>
      <c r="I82" t="e">
        <f>DATEDIF(#REF!,#REF!,"D")</f>
        <v>#REF!</v>
      </c>
      <c r="J82" s="7" t="e">
        <f>ROUND(Table2[[#This Row],[Quantity]]*Table2[[#This Row],[Unit Price]]*VLOOKUP(#REF!,Table_1[#All],2,FALSE),0)</f>
        <v>#REF!</v>
      </c>
      <c r="K82" s="7">
        <f>Table2[[#This Row],[Quantity]]*Table2[[#This Row],[Unit Price]]</f>
        <v>247</v>
      </c>
      <c r="L82" s="7" t="e">
        <f>Table2[[#This Row],[Sales Revenue]]-Table2[[#This Row],[Total Cost After Product Percentage Calc]]</f>
        <v>#REF!</v>
      </c>
    </row>
    <row r="83" spans="1:12" ht="14.25" customHeight="1" x14ac:dyDescent="0.3">
      <c r="A83" s="1">
        <v>4</v>
      </c>
      <c r="B83" s="1">
        <v>956</v>
      </c>
      <c r="C83" s="1" t="s">
        <v>20</v>
      </c>
      <c r="D83" s="1" t="s">
        <v>31</v>
      </c>
      <c r="E83" s="1" t="s">
        <v>14</v>
      </c>
      <c r="F83" t="e">
        <f>TEXT(#REF!,"YYY")</f>
        <v>#REF!</v>
      </c>
      <c r="G83" t="e">
        <f>TEXT(#REF!,"MMM")</f>
        <v>#REF!</v>
      </c>
      <c r="H83" t="e">
        <f>TEXT(#REF!,"DDD")</f>
        <v>#REF!</v>
      </c>
      <c r="I83" t="e">
        <f>DATEDIF(#REF!,#REF!,"D")</f>
        <v>#REF!</v>
      </c>
      <c r="J83" s="7" t="e">
        <f>ROUND(Table2[[#This Row],[Quantity]]*Table2[[#This Row],[Unit Price]]*VLOOKUP(#REF!,Table_1[#All],2,FALSE),0)</f>
        <v>#REF!</v>
      </c>
      <c r="K83" s="7">
        <f>Table2[[#This Row],[Quantity]]*Table2[[#This Row],[Unit Price]]</f>
        <v>3824</v>
      </c>
      <c r="L83" s="7" t="e">
        <f>Table2[[#This Row],[Sales Revenue]]-Table2[[#This Row],[Total Cost After Product Percentage Calc]]</f>
        <v>#REF!</v>
      </c>
    </row>
    <row r="84" spans="1:12" ht="14.25" customHeight="1" x14ac:dyDescent="0.3">
      <c r="A84" s="1">
        <v>3</v>
      </c>
      <c r="B84" s="1">
        <v>821</v>
      </c>
      <c r="C84" s="1" t="s">
        <v>20</v>
      </c>
      <c r="D84" s="1" t="s">
        <v>31</v>
      </c>
      <c r="E84" s="1" t="s">
        <v>12</v>
      </c>
      <c r="F84" t="e">
        <f>TEXT(#REF!,"YYY")</f>
        <v>#REF!</v>
      </c>
      <c r="G84" t="e">
        <f>TEXT(#REF!,"MMM")</f>
        <v>#REF!</v>
      </c>
      <c r="H84" t="e">
        <f>TEXT(#REF!,"DDD")</f>
        <v>#REF!</v>
      </c>
      <c r="I84" t="e">
        <f>DATEDIF(#REF!,#REF!,"D")</f>
        <v>#REF!</v>
      </c>
      <c r="J84" s="7" t="e">
        <f>ROUND(Table2[[#This Row],[Quantity]]*Table2[[#This Row],[Unit Price]]*VLOOKUP(#REF!,Table_1[#All],2,FALSE),0)</f>
        <v>#REF!</v>
      </c>
      <c r="K84" s="7">
        <f>Table2[[#This Row],[Quantity]]*Table2[[#This Row],[Unit Price]]</f>
        <v>2463</v>
      </c>
      <c r="L84" s="7" t="e">
        <f>Table2[[#This Row],[Sales Revenue]]-Table2[[#This Row],[Total Cost After Product Percentage Calc]]</f>
        <v>#REF!</v>
      </c>
    </row>
    <row r="85" spans="1:12" ht="14.25" customHeight="1" x14ac:dyDescent="0.3">
      <c r="A85" s="1">
        <v>2</v>
      </c>
      <c r="B85" s="1">
        <v>489</v>
      </c>
      <c r="C85" s="1" t="s">
        <v>20</v>
      </c>
      <c r="D85" s="1" t="s">
        <v>24</v>
      </c>
      <c r="E85" s="1" t="s">
        <v>22</v>
      </c>
      <c r="F85" t="e">
        <f>TEXT(#REF!,"YYY")</f>
        <v>#REF!</v>
      </c>
      <c r="G85" t="e">
        <f>TEXT(#REF!,"MMM")</f>
        <v>#REF!</v>
      </c>
      <c r="H85" t="e">
        <f>TEXT(#REF!,"DDD")</f>
        <v>#REF!</v>
      </c>
      <c r="I85" t="e">
        <f>DATEDIF(#REF!,#REF!,"D")</f>
        <v>#REF!</v>
      </c>
      <c r="J85" s="7" t="e">
        <f>ROUND(Table2[[#This Row],[Quantity]]*Table2[[#This Row],[Unit Price]]*VLOOKUP(#REF!,Table_1[#All],2,FALSE),0)</f>
        <v>#REF!</v>
      </c>
      <c r="K85" s="7">
        <f>Table2[[#This Row],[Quantity]]*Table2[[#This Row],[Unit Price]]</f>
        <v>978</v>
      </c>
      <c r="L85" s="7" t="e">
        <f>Table2[[#This Row],[Sales Revenue]]-Table2[[#This Row],[Total Cost After Product Percentage Calc]]</f>
        <v>#REF!</v>
      </c>
    </row>
    <row r="86" spans="1:12" ht="14.25" customHeight="1" x14ac:dyDescent="0.3">
      <c r="A86" s="1">
        <v>9</v>
      </c>
      <c r="B86" s="1">
        <v>515</v>
      </c>
      <c r="C86" s="1" t="s">
        <v>20</v>
      </c>
      <c r="D86" s="1" t="s">
        <v>21</v>
      </c>
      <c r="E86" s="1" t="s">
        <v>12</v>
      </c>
      <c r="F86" t="e">
        <f>TEXT(#REF!,"YYY")</f>
        <v>#REF!</v>
      </c>
      <c r="G86" t="e">
        <f>TEXT(#REF!,"MMM")</f>
        <v>#REF!</v>
      </c>
      <c r="H86" t="e">
        <f>TEXT(#REF!,"DDD")</f>
        <v>#REF!</v>
      </c>
      <c r="I86" t="e">
        <f>DATEDIF(#REF!,#REF!,"D")</f>
        <v>#REF!</v>
      </c>
      <c r="J86" s="7" t="e">
        <f>ROUND(Table2[[#This Row],[Quantity]]*Table2[[#This Row],[Unit Price]]*VLOOKUP(#REF!,Table_1[#All],2,FALSE),0)</f>
        <v>#REF!</v>
      </c>
      <c r="K86" s="7">
        <f>Table2[[#This Row],[Quantity]]*Table2[[#This Row],[Unit Price]]</f>
        <v>4635</v>
      </c>
      <c r="L86" s="7" t="e">
        <f>Table2[[#This Row],[Sales Revenue]]-Table2[[#This Row],[Total Cost After Product Percentage Calc]]</f>
        <v>#REF!</v>
      </c>
    </row>
    <row r="87" spans="1:12" ht="14.25" customHeight="1" x14ac:dyDescent="0.3">
      <c r="A87" s="1">
        <v>10</v>
      </c>
      <c r="B87" s="1">
        <v>266</v>
      </c>
      <c r="C87" s="1" t="s">
        <v>10</v>
      </c>
      <c r="D87" s="1" t="s">
        <v>11</v>
      </c>
      <c r="E87" s="1" t="s">
        <v>12</v>
      </c>
      <c r="F87" t="e">
        <f>TEXT(#REF!,"YYY")</f>
        <v>#REF!</v>
      </c>
      <c r="G87" t="e">
        <f>TEXT(#REF!,"MMM")</f>
        <v>#REF!</v>
      </c>
      <c r="H87" t="e">
        <f>TEXT(#REF!,"DDD")</f>
        <v>#REF!</v>
      </c>
      <c r="I87" t="e">
        <f>DATEDIF(#REF!,#REF!,"D")</f>
        <v>#REF!</v>
      </c>
      <c r="J87" s="7" t="e">
        <f>ROUND(Table2[[#This Row],[Quantity]]*Table2[[#This Row],[Unit Price]]*VLOOKUP(#REF!,Table_1[#All],2,FALSE),0)</f>
        <v>#REF!</v>
      </c>
      <c r="K87" s="7">
        <f>Table2[[#This Row],[Quantity]]*Table2[[#This Row],[Unit Price]]</f>
        <v>2660</v>
      </c>
      <c r="L87" s="7" t="e">
        <f>Table2[[#This Row],[Sales Revenue]]-Table2[[#This Row],[Total Cost After Product Percentage Calc]]</f>
        <v>#REF!</v>
      </c>
    </row>
    <row r="88" spans="1:12" ht="14.25" customHeight="1" x14ac:dyDescent="0.3">
      <c r="A88" s="1">
        <v>3</v>
      </c>
      <c r="B88" s="1">
        <v>609</v>
      </c>
      <c r="C88" s="1" t="s">
        <v>10</v>
      </c>
      <c r="D88" s="1" t="s">
        <v>21</v>
      </c>
      <c r="E88" s="1" t="s">
        <v>12</v>
      </c>
      <c r="F88" t="e">
        <f>TEXT(#REF!,"YYY")</f>
        <v>#REF!</v>
      </c>
      <c r="G88" t="e">
        <f>TEXT(#REF!,"MMM")</f>
        <v>#REF!</v>
      </c>
      <c r="H88" t="e">
        <f>TEXT(#REF!,"DDD")</f>
        <v>#REF!</v>
      </c>
      <c r="I88" t="e">
        <f>DATEDIF(#REF!,#REF!,"D")</f>
        <v>#REF!</v>
      </c>
      <c r="J88" s="7" t="e">
        <f>ROUND(Table2[[#This Row],[Quantity]]*Table2[[#This Row],[Unit Price]]*VLOOKUP(#REF!,Table_1[#All],2,FALSE),0)</f>
        <v>#REF!</v>
      </c>
      <c r="K88" s="7">
        <f>Table2[[#This Row],[Quantity]]*Table2[[#This Row],[Unit Price]]</f>
        <v>1827</v>
      </c>
      <c r="L88" s="7" t="e">
        <f>Table2[[#This Row],[Sales Revenue]]-Table2[[#This Row],[Total Cost After Product Percentage Calc]]</f>
        <v>#REF!</v>
      </c>
    </row>
    <row r="89" spans="1:12" ht="14.25" customHeight="1" x14ac:dyDescent="0.3">
      <c r="A89" s="1">
        <v>6</v>
      </c>
      <c r="B89" s="1">
        <v>338</v>
      </c>
      <c r="C89" s="1" t="s">
        <v>10</v>
      </c>
      <c r="D89" s="1" t="s">
        <v>24</v>
      </c>
      <c r="E89" s="1" t="s">
        <v>12</v>
      </c>
      <c r="F89" t="e">
        <f>TEXT(#REF!,"YYY")</f>
        <v>#REF!</v>
      </c>
      <c r="G89" t="e">
        <f>TEXT(#REF!,"MMM")</f>
        <v>#REF!</v>
      </c>
      <c r="H89" t="e">
        <f>TEXT(#REF!,"DDD")</f>
        <v>#REF!</v>
      </c>
      <c r="I89" t="e">
        <f>DATEDIF(#REF!,#REF!,"D")</f>
        <v>#REF!</v>
      </c>
      <c r="J89" s="7" t="e">
        <f>ROUND(Table2[[#This Row],[Quantity]]*Table2[[#This Row],[Unit Price]]*VLOOKUP(#REF!,Table_1[#All],2,FALSE),0)</f>
        <v>#REF!</v>
      </c>
      <c r="K89" s="7">
        <f>Table2[[#This Row],[Quantity]]*Table2[[#This Row],[Unit Price]]</f>
        <v>2028</v>
      </c>
      <c r="L89" s="7" t="e">
        <f>Table2[[#This Row],[Sales Revenue]]-Table2[[#This Row],[Total Cost After Product Percentage Calc]]</f>
        <v>#REF!</v>
      </c>
    </row>
    <row r="90" spans="1:12" ht="14.25" customHeight="1" x14ac:dyDescent="0.3">
      <c r="A90" s="1">
        <v>8</v>
      </c>
      <c r="B90" s="1">
        <v>305</v>
      </c>
      <c r="C90" s="1" t="s">
        <v>20</v>
      </c>
      <c r="D90" s="1" t="s">
        <v>24</v>
      </c>
      <c r="E90" s="1" t="s">
        <v>14</v>
      </c>
      <c r="F90" t="e">
        <f>TEXT(#REF!,"YYY")</f>
        <v>#REF!</v>
      </c>
      <c r="G90" t="e">
        <f>TEXT(#REF!,"MMM")</f>
        <v>#REF!</v>
      </c>
      <c r="H90" t="e">
        <f>TEXT(#REF!,"DDD")</f>
        <v>#REF!</v>
      </c>
      <c r="I90" t="e">
        <f>DATEDIF(#REF!,#REF!,"D")</f>
        <v>#REF!</v>
      </c>
      <c r="J90" s="7" t="e">
        <f>ROUND(Table2[[#This Row],[Quantity]]*Table2[[#This Row],[Unit Price]]*VLOOKUP(#REF!,Table_1[#All],2,FALSE),0)</f>
        <v>#REF!</v>
      </c>
      <c r="K90" s="7">
        <f>Table2[[#This Row],[Quantity]]*Table2[[#This Row],[Unit Price]]</f>
        <v>2440</v>
      </c>
      <c r="L90" s="7" t="e">
        <f>Table2[[#This Row],[Sales Revenue]]-Table2[[#This Row],[Total Cost After Product Percentage Calc]]</f>
        <v>#REF!</v>
      </c>
    </row>
    <row r="91" spans="1:12" ht="14.25" customHeight="1" x14ac:dyDescent="0.3">
      <c r="A91" s="1">
        <v>9</v>
      </c>
      <c r="B91" s="1">
        <v>483</v>
      </c>
      <c r="C91" s="1" t="s">
        <v>10</v>
      </c>
      <c r="D91" s="1" t="s">
        <v>21</v>
      </c>
      <c r="E91" s="1" t="s">
        <v>14</v>
      </c>
      <c r="F91" t="e">
        <f>TEXT(#REF!,"YYY")</f>
        <v>#REF!</v>
      </c>
      <c r="G91" t="e">
        <f>TEXT(#REF!,"MMM")</f>
        <v>#REF!</v>
      </c>
      <c r="H91" t="e">
        <f>TEXT(#REF!,"DDD")</f>
        <v>#REF!</v>
      </c>
      <c r="I91" t="e">
        <f>DATEDIF(#REF!,#REF!,"D")</f>
        <v>#REF!</v>
      </c>
      <c r="J91" s="7" t="e">
        <f>ROUND(Table2[[#This Row],[Quantity]]*Table2[[#This Row],[Unit Price]]*VLOOKUP(#REF!,Table_1[#All],2,FALSE),0)</f>
        <v>#REF!</v>
      </c>
      <c r="K91" s="7">
        <f>Table2[[#This Row],[Quantity]]*Table2[[#This Row],[Unit Price]]</f>
        <v>4347</v>
      </c>
      <c r="L91" s="7" t="e">
        <f>Table2[[#This Row],[Sales Revenue]]-Table2[[#This Row],[Total Cost After Product Percentage Calc]]</f>
        <v>#REF!</v>
      </c>
    </row>
    <row r="92" spans="1:12" ht="14.25" customHeight="1" x14ac:dyDescent="0.3">
      <c r="A92" s="1">
        <v>8</v>
      </c>
      <c r="B92" s="1">
        <v>650</v>
      </c>
      <c r="C92" s="1" t="s">
        <v>10</v>
      </c>
      <c r="D92" s="1" t="s">
        <v>21</v>
      </c>
      <c r="E92" s="1" t="s">
        <v>22</v>
      </c>
      <c r="F92" t="e">
        <f>TEXT(#REF!,"YYY")</f>
        <v>#REF!</v>
      </c>
      <c r="G92" t="e">
        <f>TEXT(#REF!,"MMM")</f>
        <v>#REF!</v>
      </c>
      <c r="H92" t="e">
        <f>TEXT(#REF!,"DDD")</f>
        <v>#REF!</v>
      </c>
      <c r="I92" t="e">
        <f>DATEDIF(#REF!,#REF!,"D")</f>
        <v>#REF!</v>
      </c>
      <c r="J92" s="7" t="e">
        <f>ROUND(Table2[[#This Row],[Quantity]]*Table2[[#This Row],[Unit Price]]*VLOOKUP(#REF!,Table_1[#All],2,FALSE),0)</f>
        <v>#REF!</v>
      </c>
      <c r="K92" s="7">
        <f>Table2[[#This Row],[Quantity]]*Table2[[#This Row],[Unit Price]]</f>
        <v>5200</v>
      </c>
      <c r="L92" s="7" t="e">
        <f>Table2[[#This Row],[Sales Revenue]]-Table2[[#This Row],[Total Cost After Product Percentage Calc]]</f>
        <v>#REF!</v>
      </c>
    </row>
    <row r="93" spans="1:12" ht="14.25" customHeight="1" x14ac:dyDescent="0.3">
      <c r="A93" s="1">
        <v>5</v>
      </c>
      <c r="B93" s="1">
        <v>458</v>
      </c>
      <c r="C93" s="1" t="s">
        <v>10</v>
      </c>
      <c r="D93" s="1" t="s">
        <v>24</v>
      </c>
      <c r="E93" s="1" t="s">
        <v>12</v>
      </c>
      <c r="F93" t="e">
        <f>TEXT(#REF!,"YYY")</f>
        <v>#REF!</v>
      </c>
      <c r="G93" t="e">
        <f>TEXT(#REF!,"MMM")</f>
        <v>#REF!</v>
      </c>
      <c r="H93" t="e">
        <f>TEXT(#REF!,"DDD")</f>
        <v>#REF!</v>
      </c>
      <c r="I93" t="e">
        <f>DATEDIF(#REF!,#REF!,"D")</f>
        <v>#REF!</v>
      </c>
      <c r="J93" s="7" t="e">
        <f>ROUND(Table2[[#This Row],[Quantity]]*Table2[[#This Row],[Unit Price]]*VLOOKUP(#REF!,Table_1[#All],2,FALSE),0)</f>
        <v>#REF!</v>
      </c>
      <c r="K93" s="7">
        <f>Table2[[#This Row],[Quantity]]*Table2[[#This Row],[Unit Price]]</f>
        <v>2290</v>
      </c>
      <c r="L93" s="7" t="e">
        <f>Table2[[#This Row],[Sales Revenue]]-Table2[[#This Row],[Total Cost After Product Percentage Calc]]</f>
        <v>#REF!</v>
      </c>
    </row>
    <row r="94" spans="1:12" ht="14.25" customHeight="1" x14ac:dyDescent="0.3">
      <c r="A94" s="1">
        <v>3</v>
      </c>
      <c r="B94" s="1">
        <v>328</v>
      </c>
      <c r="C94" s="1" t="s">
        <v>20</v>
      </c>
      <c r="D94" s="1" t="s">
        <v>24</v>
      </c>
      <c r="E94" s="1" t="s">
        <v>12</v>
      </c>
      <c r="F94" t="e">
        <f>TEXT(#REF!,"YYY")</f>
        <v>#REF!</v>
      </c>
      <c r="G94" t="e">
        <f>TEXT(#REF!,"MMM")</f>
        <v>#REF!</v>
      </c>
      <c r="H94" t="e">
        <f>TEXT(#REF!,"DDD")</f>
        <v>#REF!</v>
      </c>
      <c r="I94" t="e">
        <f>DATEDIF(#REF!,#REF!,"D")</f>
        <v>#REF!</v>
      </c>
      <c r="J94" s="7" t="e">
        <f>ROUND(Table2[[#This Row],[Quantity]]*Table2[[#This Row],[Unit Price]]*VLOOKUP(#REF!,Table_1[#All],2,FALSE),0)</f>
        <v>#REF!</v>
      </c>
      <c r="K94" s="7">
        <f>Table2[[#This Row],[Quantity]]*Table2[[#This Row],[Unit Price]]</f>
        <v>984</v>
      </c>
      <c r="L94" s="7" t="e">
        <f>Table2[[#This Row],[Sales Revenue]]-Table2[[#This Row],[Total Cost After Product Percentage Calc]]</f>
        <v>#REF!</v>
      </c>
    </row>
    <row r="95" spans="1:12" ht="14.25" customHeight="1" x14ac:dyDescent="0.3">
      <c r="A95" s="1">
        <v>3</v>
      </c>
      <c r="B95" s="1">
        <v>402</v>
      </c>
      <c r="C95" s="1" t="s">
        <v>20</v>
      </c>
      <c r="D95" s="1" t="s">
        <v>11</v>
      </c>
      <c r="E95" s="1" t="s">
        <v>30</v>
      </c>
      <c r="F95" t="e">
        <f>TEXT(#REF!,"YYY")</f>
        <v>#REF!</v>
      </c>
      <c r="G95" t="e">
        <f>TEXT(#REF!,"MMM")</f>
        <v>#REF!</v>
      </c>
      <c r="H95" t="e">
        <f>TEXT(#REF!,"DDD")</f>
        <v>#REF!</v>
      </c>
      <c r="I95" t="e">
        <f>DATEDIF(#REF!,#REF!,"D")</f>
        <v>#REF!</v>
      </c>
      <c r="J95" s="7" t="e">
        <f>ROUND(Table2[[#This Row],[Quantity]]*Table2[[#This Row],[Unit Price]]*VLOOKUP(#REF!,Table_1[#All],2,FALSE),0)</f>
        <v>#REF!</v>
      </c>
      <c r="K95" s="7">
        <f>Table2[[#This Row],[Quantity]]*Table2[[#This Row],[Unit Price]]</f>
        <v>1206</v>
      </c>
      <c r="L95" s="7" t="e">
        <f>Table2[[#This Row],[Sales Revenue]]-Table2[[#This Row],[Total Cost After Product Percentage Calc]]</f>
        <v>#REF!</v>
      </c>
    </row>
    <row r="96" spans="1:12" ht="14.25" customHeight="1" x14ac:dyDescent="0.3">
      <c r="A96" s="1">
        <v>10</v>
      </c>
      <c r="B96" s="1">
        <v>603</v>
      </c>
      <c r="C96" s="1" t="s">
        <v>10</v>
      </c>
      <c r="D96" s="1" t="s">
        <v>24</v>
      </c>
      <c r="E96" s="1" t="s">
        <v>30</v>
      </c>
      <c r="F96" t="e">
        <f>TEXT(#REF!,"YYY")</f>
        <v>#REF!</v>
      </c>
      <c r="G96" t="e">
        <f>TEXT(#REF!,"MMM")</f>
        <v>#REF!</v>
      </c>
      <c r="H96" t="e">
        <f>TEXT(#REF!,"DDD")</f>
        <v>#REF!</v>
      </c>
      <c r="I96" t="e">
        <f>DATEDIF(#REF!,#REF!,"D")</f>
        <v>#REF!</v>
      </c>
      <c r="J96" s="7" t="e">
        <f>ROUND(Table2[[#This Row],[Quantity]]*Table2[[#This Row],[Unit Price]]*VLOOKUP(#REF!,Table_1[#All],2,FALSE),0)</f>
        <v>#REF!</v>
      </c>
      <c r="K96" s="7">
        <f>Table2[[#This Row],[Quantity]]*Table2[[#This Row],[Unit Price]]</f>
        <v>6030</v>
      </c>
      <c r="L96" s="7" t="e">
        <f>Table2[[#This Row],[Sales Revenue]]-Table2[[#This Row],[Total Cost After Product Percentage Calc]]</f>
        <v>#REF!</v>
      </c>
    </row>
    <row r="97" spans="1:12" ht="14.25" customHeight="1" x14ac:dyDescent="0.3">
      <c r="A97" s="1">
        <v>1</v>
      </c>
      <c r="B97" s="1">
        <v>749</v>
      </c>
      <c r="C97" s="1" t="s">
        <v>20</v>
      </c>
      <c r="D97" s="1" t="s">
        <v>11</v>
      </c>
      <c r="E97" s="1" t="s">
        <v>12</v>
      </c>
      <c r="F97" t="e">
        <f>TEXT(#REF!,"YYY")</f>
        <v>#REF!</v>
      </c>
      <c r="G97" t="e">
        <f>TEXT(#REF!,"MMM")</f>
        <v>#REF!</v>
      </c>
      <c r="H97" t="e">
        <f>TEXT(#REF!,"DDD")</f>
        <v>#REF!</v>
      </c>
      <c r="I97" t="e">
        <f>DATEDIF(#REF!,#REF!,"D")</f>
        <v>#REF!</v>
      </c>
      <c r="J97" s="7" t="e">
        <f>ROUND(Table2[[#This Row],[Quantity]]*Table2[[#This Row],[Unit Price]]*VLOOKUP(#REF!,Table_1[#All],2,FALSE),0)</f>
        <v>#REF!</v>
      </c>
      <c r="K97" s="7">
        <f>Table2[[#This Row],[Quantity]]*Table2[[#This Row],[Unit Price]]</f>
        <v>749</v>
      </c>
      <c r="L97" s="7" t="e">
        <f>Table2[[#This Row],[Sales Revenue]]-Table2[[#This Row],[Total Cost After Product Percentage Calc]]</f>
        <v>#REF!</v>
      </c>
    </row>
    <row r="98" spans="1:12" ht="14.25" customHeight="1" x14ac:dyDescent="0.3">
      <c r="A98" s="1">
        <v>5</v>
      </c>
      <c r="B98" s="1">
        <v>356</v>
      </c>
      <c r="C98" s="1" t="s">
        <v>20</v>
      </c>
      <c r="D98" s="1" t="s">
        <v>24</v>
      </c>
      <c r="E98" s="1" t="s">
        <v>12</v>
      </c>
      <c r="F98" t="e">
        <f>TEXT(#REF!,"YYY")</f>
        <v>#REF!</v>
      </c>
      <c r="G98" t="e">
        <f>TEXT(#REF!,"MMM")</f>
        <v>#REF!</v>
      </c>
      <c r="H98" t="e">
        <f>TEXT(#REF!,"DDD")</f>
        <v>#REF!</v>
      </c>
      <c r="I98" t="e">
        <f>DATEDIF(#REF!,#REF!,"D")</f>
        <v>#REF!</v>
      </c>
      <c r="J98" s="7" t="e">
        <f>ROUND(Table2[[#This Row],[Quantity]]*Table2[[#This Row],[Unit Price]]*VLOOKUP(#REF!,Table_1[#All],2,FALSE),0)</f>
        <v>#REF!</v>
      </c>
      <c r="K98" s="7">
        <f>Table2[[#This Row],[Quantity]]*Table2[[#This Row],[Unit Price]]</f>
        <v>1780</v>
      </c>
      <c r="L98" s="7" t="e">
        <f>Table2[[#This Row],[Sales Revenue]]-Table2[[#This Row],[Total Cost After Product Percentage Calc]]</f>
        <v>#REF!</v>
      </c>
    </row>
    <row r="99" spans="1:12" ht="14.25" customHeight="1" x14ac:dyDescent="0.3">
      <c r="A99" s="1">
        <v>9</v>
      </c>
      <c r="B99" s="1">
        <v>399</v>
      </c>
      <c r="C99" s="1" t="s">
        <v>20</v>
      </c>
      <c r="D99" s="1" t="s">
        <v>31</v>
      </c>
      <c r="E99" s="1" t="s">
        <v>12</v>
      </c>
      <c r="F99" t="e">
        <f>TEXT(#REF!,"YYY")</f>
        <v>#REF!</v>
      </c>
      <c r="G99" t="e">
        <f>TEXT(#REF!,"MMM")</f>
        <v>#REF!</v>
      </c>
      <c r="H99" t="e">
        <f>TEXT(#REF!,"DDD")</f>
        <v>#REF!</v>
      </c>
      <c r="I99" t="e">
        <f>DATEDIF(#REF!,#REF!,"D")</f>
        <v>#REF!</v>
      </c>
      <c r="J99" s="7" t="e">
        <f>ROUND(Table2[[#This Row],[Quantity]]*Table2[[#This Row],[Unit Price]]*VLOOKUP(#REF!,Table_1[#All],2,FALSE),0)</f>
        <v>#REF!</v>
      </c>
      <c r="K99" s="7">
        <f>Table2[[#This Row],[Quantity]]*Table2[[#This Row],[Unit Price]]</f>
        <v>3591</v>
      </c>
      <c r="L99" s="7" t="e">
        <f>Table2[[#This Row],[Sales Revenue]]-Table2[[#This Row],[Total Cost After Product Percentage Calc]]</f>
        <v>#REF!</v>
      </c>
    </row>
    <row r="100" spans="1:12" ht="14.25" customHeight="1" x14ac:dyDescent="0.3">
      <c r="A100" s="1">
        <v>4</v>
      </c>
      <c r="B100" s="1">
        <v>656</v>
      </c>
      <c r="C100" s="1" t="s">
        <v>10</v>
      </c>
      <c r="D100" s="1" t="s">
        <v>24</v>
      </c>
      <c r="E100" s="1" t="s">
        <v>22</v>
      </c>
      <c r="F100" t="e">
        <f>TEXT(#REF!,"YYY")</f>
        <v>#REF!</v>
      </c>
      <c r="G100" t="e">
        <f>TEXT(#REF!,"MMM")</f>
        <v>#REF!</v>
      </c>
      <c r="H100" t="e">
        <f>TEXT(#REF!,"DDD")</f>
        <v>#REF!</v>
      </c>
      <c r="I100" t="e">
        <f>DATEDIF(#REF!,#REF!,"D")</f>
        <v>#REF!</v>
      </c>
      <c r="J100" s="7" t="e">
        <f>ROUND(Table2[[#This Row],[Quantity]]*Table2[[#This Row],[Unit Price]]*VLOOKUP(#REF!,Table_1[#All],2,FALSE),0)</f>
        <v>#REF!</v>
      </c>
      <c r="K100" s="7">
        <f>Table2[[#This Row],[Quantity]]*Table2[[#This Row],[Unit Price]]</f>
        <v>2624</v>
      </c>
      <c r="L100" s="7" t="e">
        <f>Table2[[#This Row],[Sales Revenue]]-Table2[[#This Row],[Total Cost After Product Percentage Calc]]</f>
        <v>#REF!</v>
      </c>
    </row>
    <row r="101" spans="1:12" ht="14.25" customHeight="1" x14ac:dyDescent="0.3">
      <c r="A101" s="1">
        <v>2</v>
      </c>
      <c r="B101" s="1">
        <v>464</v>
      </c>
      <c r="C101" s="1" t="s">
        <v>10</v>
      </c>
      <c r="D101" s="1" t="s">
        <v>11</v>
      </c>
      <c r="E101" s="1" t="s">
        <v>14</v>
      </c>
      <c r="F101" t="e">
        <f>TEXT(#REF!,"YYY")</f>
        <v>#REF!</v>
      </c>
      <c r="G101" t="e">
        <f>TEXT(#REF!,"MMM")</f>
        <v>#REF!</v>
      </c>
      <c r="H101" t="e">
        <f>TEXT(#REF!,"DDD")</f>
        <v>#REF!</v>
      </c>
      <c r="I101" t="e">
        <f>DATEDIF(#REF!,#REF!,"D")</f>
        <v>#REF!</v>
      </c>
      <c r="J101" s="7" t="e">
        <f>ROUND(Table2[[#This Row],[Quantity]]*Table2[[#This Row],[Unit Price]]*VLOOKUP(#REF!,Table_1[#All],2,FALSE),0)</f>
        <v>#REF!</v>
      </c>
      <c r="K101" s="7">
        <f>Table2[[#This Row],[Quantity]]*Table2[[#This Row],[Unit Price]]</f>
        <v>928</v>
      </c>
      <c r="L101" s="7" t="e">
        <f>Table2[[#This Row],[Sales Revenue]]-Table2[[#This Row],[Total Cost After Product Percentage Calc]]</f>
        <v>#REF!</v>
      </c>
    </row>
    <row r="102" spans="1:12" ht="14.25" customHeight="1" x14ac:dyDescent="0.3">
      <c r="A102" s="1">
        <v>5</v>
      </c>
      <c r="B102" s="1">
        <v>377</v>
      </c>
      <c r="C102" s="1" t="s">
        <v>10</v>
      </c>
      <c r="D102" s="1" t="s">
        <v>31</v>
      </c>
      <c r="E102" s="1" t="s">
        <v>14</v>
      </c>
      <c r="F102" t="e">
        <f>TEXT(#REF!,"YYY")</f>
        <v>#REF!</v>
      </c>
      <c r="G102" t="e">
        <f>TEXT(#REF!,"MMM")</f>
        <v>#REF!</v>
      </c>
      <c r="H102" t="e">
        <f>TEXT(#REF!,"DDD")</f>
        <v>#REF!</v>
      </c>
      <c r="I102" t="e">
        <f>DATEDIF(#REF!,#REF!,"D")</f>
        <v>#REF!</v>
      </c>
      <c r="J102" s="7" t="e">
        <f>ROUND(Table2[[#This Row],[Quantity]]*Table2[[#This Row],[Unit Price]]*VLOOKUP(#REF!,Table_1[#All],2,FALSE),0)</f>
        <v>#REF!</v>
      </c>
      <c r="K102" s="7">
        <f>Table2[[#This Row],[Quantity]]*Table2[[#This Row],[Unit Price]]</f>
        <v>1885</v>
      </c>
      <c r="L102" s="7" t="e">
        <f>Table2[[#This Row],[Sales Revenue]]-Table2[[#This Row],[Total Cost After Product Percentage Calc]]</f>
        <v>#REF!</v>
      </c>
    </row>
    <row r="103" spans="1:12" ht="14.25" customHeight="1" x14ac:dyDescent="0.3">
      <c r="A103" s="1">
        <v>10</v>
      </c>
      <c r="B103" s="1">
        <v>708</v>
      </c>
      <c r="C103" s="1" t="s">
        <v>10</v>
      </c>
      <c r="D103" s="1" t="s">
        <v>16</v>
      </c>
      <c r="E103" s="1" t="s">
        <v>22</v>
      </c>
      <c r="F103" t="e">
        <f>TEXT(#REF!,"YYY")</f>
        <v>#REF!</v>
      </c>
      <c r="G103" t="e">
        <f>TEXT(#REF!,"MMM")</f>
        <v>#REF!</v>
      </c>
      <c r="H103" t="e">
        <f>TEXT(#REF!,"DDD")</f>
        <v>#REF!</v>
      </c>
      <c r="I103" t="e">
        <f>DATEDIF(#REF!,#REF!,"D")</f>
        <v>#REF!</v>
      </c>
      <c r="J103" s="7" t="e">
        <f>ROUND(Table2[[#This Row],[Quantity]]*Table2[[#This Row],[Unit Price]]*VLOOKUP(#REF!,Table_1[#All],2,FALSE),0)</f>
        <v>#REF!</v>
      </c>
      <c r="K103" s="7">
        <f>Table2[[#This Row],[Quantity]]*Table2[[#This Row],[Unit Price]]</f>
        <v>7080</v>
      </c>
      <c r="L103" s="7" t="e">
        <f>Table2[[#This Row],[Sales Revenue]]-Table2[[#This Row],[Total Cost After Product Percentage Calc]]</f>
        <v>#REF!</v>
      </c>
    </row>
    <row r="104" spans="1:12" ht="14.25" customHeight="1" x14ac:dyDescent="0.3">
      <c r="A104" s="1">
        <v>1</v>
      </c>
      <c r="B104" s="1">
        <v>326</v>
      </c>
      <c r="C104" s="1" t="s">
        <v>10</v>
      </c>
      <c r="D104" s="1" t="s">
        <v>16</v>
      </c>
      <c r="E104" s="1" t="s">
        <v>30</v>
      </c>
      <c r="F104" t="e">
        <f>TEXT(#REF!,"YYY")</f>
        <v>#REF!</v>
      </c>
      <c r="G104" t="e">
        <f>TEXT(#REF!,"MMM")</f>
        <v>#REF!</v>
      </c>
      <c r="H104" t="e">
        <f>TEXT(#REF!,"DDD")</f>
        <v>#REF!</v>
      </c>
      <c r="I104" t="e">
        <f>DATEDIF(#REF!,#REF!,"D")</f>
        <v>#REF!</v>
      </c>
      <c r="J104" s="7" t="e">
        <f>ROUND(Table2[[#This Row],[Quantity]]*Table2[[#This Row],[Unit Price]]*VLOOKUP(#REF!,Table_1[#All],2,FALSE),0)</f>
        <v>#REF!</v>
      </c>
      <c r="K104" s="7">
        <f>Table2[[#This Row],[Quantity]]*Table2[[#This Row],[Unit Price]]</f>
        <v>326</v>
      </c>
      <c r="L104" s="7" t="e">
        <f>Table2[[#This Row],[Sales Revenue]]-Table2[[#This Row],[Total Cost After Product Percentage Calc]]</f>
        <v>#REF!</v>
      </c>
    </row>
    <row r="105" spans="1:12" ht="14.25" customHeight="1" x14ac:dyDescent="0.3">
      <c r="A105" s="1">
        <v>2</v>
      </c>
      <c r="B105" s="1">
        <v>941</v>
      </c>
      <c r="C105" s="1" t="s">
        <v>20</v>
      </c>
      <c r="D105" s="1" t="s">
        <v>31</v>
      </c>
      <c r="E105" s="1" t="s">
        <v>22</v>
      </c>
      <c r="F105" t="e">
        <f>TEXT(#REF!,"YYY")</f>
        <v>#REF!</v>
      </c>
      <c r="G105" t="e">
        <f>TEXT(#REF!,"MMM")</f>
        <v>#REF!</v>
      </c>
      <c r="H105" t="e">
        <f>TEXT(#REF!,"DDD")</f>
        <v>#REF!</v>
      </c>
      <c r="I105" t="e">
        <f>DATEDIF(#REF!,#REF!,"D")</f>
        <v>#REF!</v>
      </c>
      <c r="J105" s="7" t="e">
        <f>ROUND(Table2[[#This Row],[Quantity]]*Table2[[#This Row],[Unit Price]]*VLOOKUP(#REF!,Table_1[#All],2,FALSE),0)</f>
        <v>#REF!</v>
      </c>
      <c r="K105" s="7">
        <f>Table2[[#This Row],[Quantity]]*Table2[[#This Row],[Unit Price]]</f>
        <v>1882</v>
      </c>
      <c r="L105" s="7" t="e">
        <f>Table2[[#This Row],[Sales Revenue]]-Table2[[#This Row],[Total Cost After Product Percentage Calc]]</f>
        <v>#REF!</v>
      </c>
    </row>
    <row r="106" spans="1:12" ht="14.25" customHeight="1" x14ac:dyDescent="0.3">
      <c r="A106" s="1">
        <v>3</v>
      </c>
      <c r="B106" s="1">
        <v>815</v>
      </c>
      <c r="C106" s="1" t="s">
        <v>20</v>
      </c>
      <c r="D106" s="1" t="s">
        <v>24</v>
      </c>
      <c r="E106" s="1" t="s">
        <v>22</v>
      </c>
      <c r="F106" t="e">
        <f>TEXT(#REF!,"YYY")</f>
        <v>#REF!</v>
      </c>
      <c r="G106" t="e">
        <f>TEXT(#REF!,"MMM")</f>
        <v>#REF!</v>
      </c>
      <c r="H106" t="e">
        <f>TEXT(#REF!,"DDD")</f>
        <v>#REF!</v>
      </c>
      <c r="I106" t="e">
        <f>DATEDIF(#REF!,#REF!,"D")</f>
        <v>#REF!</v>
      </c>
      <c r="J106" s="7" t="e">
        <f>ROUND(Table2[[#This Row],[Quantity]]*Table2[[#This Row],[Unit Price]]*VLOOKUP(#REF!,Table_1[#All],2,FALSE),0)</f>
        <v>#REF!</v>
      </c>
      <c r="K106" s="7">
        <f>Table2[[#This Row],[Quantity]]*Table2[[#This Row],[Unit Price]]</f>
        <v>2445</v>
      </c>
      <c r="L106" s="7" t="e">
        <f>Table2[[#This Row],[Sales Revenue]]-Table2[[#This Row],[Total Cost After Product Percentage Calc]]</f>
        <v>#REF!</v>
      </c>
    </row>
    <row r="107" spans="1:12" ht="14.25" customHeight="1" x14ac:dyDescent="0.3">
      <c r="A107" s="1">
        <v>2</v>
      </c>
      <c r="B107" s="1">
        <v>154</v>
      </c>
      <c r="C107" s="1" t="s">
        <v>20</v>
      </c>
      <c r="D107" s="1" t="s">
        <v>16</v>
      </c>
      <c r="E107" s="1" t="s">
        <v>22</v>
      </c>
      <c r="F107" t="e">
        <f>TEXT(#REF!,"YYY")</f>
        <v>#REF!</v>
      </c>
      <c r="G107" t="e">
        <f>TEXT(#REF!,"MMM")</f>
        <v>#REF!</v>
      </c>
      <c r="H107" t="e">
        <f>TEXT(#REF!,"DDD")</f>
        <v>#REF!</v>
      </c>
      <c r="I107" t="e">
        <f>DATEDIF(#REF!,#REF!,"D")</f>
        <v>#REF!</v>
      </c>
      <c r="J107" s="7" t="e">
        <f>ROUND(Table2[[#This Row],[Quantity]]*Table2[[#This Row],[Unit Price]]*VLOOKUP(#REF!,Table_1[#All],2,FALSE),0)</f>
        <v>#REF!</v>
      </c>
      <c r="K107" s="7">
        <f>Table2[[#This Row],[Quantity]]*Table2[[#This Row],[Unit Price]]</f>
        <v>308</v>
      </c>
      <c r="L107" s="7" t="e">
        <f>Table2[[#This Row],[Sales Revenue]]-Table2[[#This Row],[Total Cost After Product Percentage Calc]]</f>
        <v>#REF!</v>
      </c>
    </row>
    <row r="108" spans="1:12" ht="14.25" customHeight="1" x14ac:dyDescent="0.3">
      <c r="A108" s="1">
        <v>6</v>
      </c>
      <c r="B108" s="1">
        <v>698</v>
      </c>
      <c r="C108" s="1" t="s">
        <v>20</v>
      </c>
      <c r="D108" s="1" t="s">
        <v>24</v>
      </c>
      <c r="E108" s="1" t="s">
        <v>22</v>
      </c>
      <c r="F108" t="e">
        <f>TEXT(#REF!,"YYY")</f>
        <v>#REF!</v>
      </c>
      <c r="G108" t="e">
        <f>TEXT(#REF!,"MMM")</f>
        <v>#REF!</v>
      </c>
      <c r="H108" t="e">
        <f>TEXT(#REF!,"DDD")</f>
        <v>#REF!</v>
      </c>
      <c r="I108" t="e">
        <f>DATEDIF(#REF!,#REF!,"D")</f>
        <v>#REF!</v>
      </c>
      <c r="J108" s="7" t="e">
        <f>ROUND(Table2[[#This Row],[Quantity]]*Table2[[#This Row],[Unit Price]]*VLOOKUP(#REF!,Table_1[#All],2,FALSE),0)</f>
        <v>#REF!</v>
      </c>
      <c r="K108" s="7">
        <f>Table2[[#This Row],[Quantity]]*Table2[[#This Row],[Unit Price]]</f>
        <v>4188</v>
      </c>
      <c r="L108" s="7" t="e">
        <f>Table2[[#This Row],[Sales Revenue]]-Table2[[#This Row],[Total Cost After Product Percentage Calc]]</f>
        <v>#REF!</v>
      </c>
    </row>
    <row r="109" spans="1:12" ht="14.25" customHeight="1" x14ac:dyDescent="0.3">
      <c r="A109" s="1">
        <v>4</v>
      </c>
      <c r="B109" s="1">
        <v>492</v>
      </c>
      <c r="C109" s="1" t="s">
        <v>20</v>
      </c>
      <c r="D109" s="1" t="s">
        <v>11</v>
      </c>
      <c r="E109" s="1" t="s">
        <v>12</v>
      </c>
      <c r="F109" t="e">
        <f>TEXT(#REF!,"YYY")</f>
        <v>#REF!</v>
      </c>
      <c r="G109" t="e">
        <f>TEXT(#REF!,"MMM")</f>
        <v>#REF!</v>
      </c>
      <c r="H109" t="e">
        <f>TEXT(#REF!,"DDD")</f>
        <v>#REF!</v>
      </c>
      <c r="I109" t="e">
        <f>DATEDIF(#REF!,#REF!,"D")</f>
        <v>#REF!</v>
      </c>
      <c r="J109" s="7" t="e">
        <f>ROUND(Table2[[#This Row],[Quantity]]*Table2[[#This Row],[Unit Price]]*VLOOKUP(#REF!,Table_1[#All],2,FALSE),0)</f>
        <v>#REF!</v>
      </c>
      <c r="K109" s="7">
        <f>Table2[[#This Row],[Quantity]]*Table2[[#This Row],[Unit Price]]</f>
        <v>1968</v>
      </c>
      <c r="L109" s="7" t="e">
        <f>Table2[[#This Row],[Sales Revenue]]-Table2[[#This Row],[Total Cost After Product Percentage Calc]]</f>
        <v>#REF!</v>
      </c>
    </row>
    <row r="110" spans="1:12" ht="14.25" customHeight="1" x14ac:dyDescent="0.3">
      <c r="A110" s="1">
        <v>2</v>
      </c>
      <c r="B110" s="1">
        <v>660</v>
      </c>
      <c r="C110" s="1" t="s">
        <v>20</v>
      </c>
      <c r="D110" s="1" t="s">
        <v>16</v>
      </c>
      <c r="E110" s="1" t="s">
        <v>30</v>
      </c>
      <c r="F110" t="e">
        <f>TEXT(#REF!,"YYY")</f>
        <v>#REF!</v>
      </c>
      <c r="G110" t="e">
        <f>TEXT(#REF!,"MMM")</f>
        <v>#REF!</v>
      </c>
      <c r="H110" t="e">
        <f>TEXT(#REF!,"DDD")</f>
        <v>#REF!</v>
      </c>
      <c r="I110" t="e">
        <f>DATEDIF(#REF!,#REF!,"D")</f>
        <v>#REF!</v>
      </c>
      <c r="J110" s="7" t="e">
        <f>ROUND(Table2[[#This Row],[Quantity]]*Table2[[#This Row],[Unit Price]]*VLOOKUP(#REF!,Table_1[#All],2,FALSE),0)</f>
        <v>#REF!</v>
      </c>
      <c r="K110" s="7">
        <f>Table2[[#This Row],[Quantity]]*Table2[[#This Row],[Unit Price]]</f>
        <v>1320</v>
      </c>
      <c r="L110" s="7" t="e">
        <f>Table2[[#This Row],[Sales Revenue]]-Table2[[#This Row],[Total Cost After Product Percentage Calc]]</f>
        <v>#REF!</v>
      </c>
    </row>
    <row r="111" spans="1:12" ht="14.25" customHeight="1" x14ac:dyDescent="0.3">
      <c r="A111" s="1">
        <v>2</v>
      </c>
      <c r="B111" s="1">
        <v>712</v>
      </c>
      <c r="C111" s="1" t="s">
        <v>20</v>
      </c>
      <c r="D111" s="1" t="s">
        <v>31</v>
      </c>
      <c r="E111" s="1" t="s">
        <v>12</v>
      </c>
      <c r="F111" t="e">
        <f>TEXT(#REF!,"YYY")</f>
        <v>#REF!</v>
      </c>
      <c r="G111" t="e">
        <f>TEXT(#REF!,"MMM")</f>
        <v>#REF!</v>
      </c>
      <c r="H111" t="e">
        <f>TEXT(#REF!,"DDD")</f>
        <v>#REF!</v>
      </c>
      <c r="I111" t="e">
        <f>DATEDIF(#REF!,#REF!,"D")</f>
        <v>#REF!</v>
      </c>
      <c r="J111" s="7" t="e">
        <f>ROUND(Table2[[#This Row],[Quantity]]*Table2[[#This Row],[Unit Price]]*VLOOKUP(#REF!,Table_1[#All],2,FALSE),0)</f>
        <v>#REF!</v>
      </c>
      <c r="K111" s="7">
        <f>Table2[[#This Row],[Quantity]]*Table2[[#This Row],[Unit Price]]</f>
        <v>1424</v>
      </c>
      <c r="L111" s="7" t="e">
        <f>Table2[[#This Row],[Sales Revenue]]-Table2[[#This Row],[Total Cost After Product Percentage Calc]]</f>
        <v>#REF!</v>
      </c>
    </row>
    <row r="112" spans="1:12" ht="14.25" customHeight="1" x14ac:dyDescent="0.3">
      <c r="A112" s="1">
        <v>5</v>
      </c>
      <c r="B112" s="1">
        <v>204</v>
      </c>
      <c r="C112" s="1" t="s">
        <v>10</v>
      </c>
      <c r="D112" s="1" t="s">
        <v>11</v>
      </c>
      <c r="E112" s="1" t="s">
        <v>30</v>
      </c>
      <c r="F112" t="e">
        <f>TEXT(#REF!,"YYY")</f>
        <v>#REF!</v>
      </c>
      <c r="G112" t="e">
        <f>TEXT(#REF!,"MMM")</f>
        <v>#REF!</v>
      </c>
      <c r="H112" t="e">
        <f>TEXT(#REF!,"DDD")</f>
        <v>#REF!</v>
      </c>
      <c r="I112" t="e">
        <f>DATEDIF(#REF!,#REF!,"D")</f>
        <v>#REF!</v>
      </c>
      <c r="J112" s="7" t="e">
        <f>ROUND(Table2[[#This Row],[Quantity]]*Table2[[#This Row],[Unit Price]]*VLOOKUP(#REF!,Table_1[#All],2,FALSE),0)</f>
        <v>#REF!</v>
      </c>
      <c r="K112" s="7">
        <f>Table2[[#This Row],[Quantity]]*Table2[[#This Row],[Unit Price]]</f>
        <v>1020</v>
      </c>
      <c r="L112" s="7" t="e">
        <f>Table2[[#This Row],[Sales Revenue]]-Table2[[#This Row],[Total Cost After Product Percentage Calc]]</f>
        <v>#REF!</v>
      </c>
    </row>
    <row r="113" spans="1:12" ht="14.25" customHeight="1" x14ac:dyDescent="0.3">
      <c r="A113" s="1">
        <v>1</v>
      </c>
      <c r="B113" s="1">
        <v>815</v>
      </c>
      <c r="C113" s="1" t="s">
        <v>10</v>
      </c>
      <c r="D113" s="1" t="s">
        <v>31</v>
      </c>
      <c r="E113" s="1" t="s">
        <v>12</v>
      </c>
      <c r="F113" t="e">
        <f>TEXT(#REF!,"YYY")</f>
        <v>#REF!</v>
      </c>
      <c r="G113" t="e">
        <f>TEXT(#REF!,"MMM")</f>
        <v>#REF!</v>
      </c>
      <c r="H113" t="e">
        <f>TEXT(#REF!,"DDD")</f>
        <v>#REF!</v>
      </c>
      <c r="I113" t="e">
        <f>DATEDIF(#REF!,#REF!,"D")</f>
        <v>#REF!</v>
      </c>
      <c r="J113" s="7" t="e">
        <f>ROUND(Table2[[#This Row],[Quantity]]*Table2[[#This Row],[Unit Price]]*VLOOKUP(#REF!,Table_1[#All],2,FALSE),0)</f>
        <v>#REF!</v>
      </c>
      <c r="K113" s="7">
        <f>Table2[[#This Row],[Quantity]]*Table2[[#This Row],[Unit Price]]</f>
        <v>815</v>
      </c>
      <c r="L113" s="7" t="e">
        <f>Table2[[#This Row],[Sales Revenue]]-Table2[[#This Row],[Total Cost After Product Percentage Calc]]</f>
        <v>#REF!</v>
      </c>
    </row>
    <row r="114" spans="1:12" ht="14.25" customHeight="1" x14ac:dyDescent="0.3">
      <c r="A114" s="1">
        <v>9</v>
      </c>
      <c r="B114" s="1">
        <v>222</v>
      </c>
      <c r="C114" s="1" t="s">
        <v>10</v>
      </c>
      <c r="D114" s="1" t="s">
        <v>24</v>
      </c>
      <c r="E114" s="1" t="s">
        <v>14</v>
      </c>
      <c r="F114" t="e">
        <f>TEXT(#REF!,"YYY")</f>
        <v>#REF!</v>
      </c>
      <c r="G114" t="e">
        <f>TEXT(#REF!,"MMM")</f>
        <v>#REF!</v>
      </c>
      <c r="H114" t="e">
        <f>TEXT(#REF!,"DDD")</f>
        <v>#REF!</v>
      </c>
      <c r="I114" t="e">
        <f>DATEDIF(#REF!,#REF!,"D")</f>
        <v>#REF!</v>
      </c>
      <c r="J114" s="7" t="e">
        <f>ROUND(Table2[[#This Row],[Quantity]]*Table2[[#This Row],[Unit Price]]*VLOOKUP(#REF!,Table_1[#All],2,FALSE),0)</f>
        <v>#REF!</v>
      </c>
      <c r="K114" s="7">
        <f>Table2[[#This Row],[Quantity]]*Table2[[#This Row],[Unit Price]]</f>
        <v>1998</v>
      </c>
      <c r="L114" s="7" t="e">
        <f>Table2[[#This Row],[Sales Revenue]]-Table2[[#This Row],[Total Cost After Product Percentage Calc]]</f>
        <v>#REF!</v>
      </c>
    </row>
    <row r="115" spans="1:12" ht="14.25" customHeight="1" x14ac:dyDescent="0.3">
      <c r="A115" s="1">
        <v>1</v>
      </c>
      <c r="B115" s="1">
        <v>293</v>
      </c>
      <c r="C115" s="1" t="s">
        <v>10</v>
      </c>
      <c r="D115" s="1" t="s">
        <v>16</v>
      </c>
      <c r="E115" s="1" t="s">
        <v>22</v>
      </c>
      <c r="F115" t="e">
        <f>TEXT(#REF!,"YYY")</f>
        <v>#REF!</v>
      </c>
      <c r="G115" t="e">
        <f>TEXT(#REF!,"MMM")</f>
        <v>#REF!</v>
      </c>
      <c r="H115" t="e">
        <f>TEXT(#REF!,"DDD")</f>
        <v>#REF!</v>
      </c>
      <c r="I115" t="e">
        <f>DATEDIF(#REF!,#REF!,"D")</f>
        <v>#REF!</v>
      </c>
      <c r="J115" s="7" t="e">
        <f>ROUND(Table2[[#This Row],[Quantity]]*Table2[[#This Row],[Unit Price]]*VLOOKUP(#REF!,Table_1[#All],2,FALSE),0)</f>
        <v>#REF!</v>
      </c>
      <c r="K115" s="7">
        <f>Table2[[#This Row],[Quantity]]*Table2[[#This Row],[Unit Price]]</f>
        <v>293</v>
      </c>
      <c r="L115" s="7" t="e">
        <f>Table2[[#This Row],[Sales Revenue]]-Table2[[#This Row],[Total Cost After Product Percentage Calc]]</f>
        <v>#REF!</v>
      </c>
    </row>
    <row r="116" spans="1:12" ht="14.25" customHeight="1" x14ac:dyDescent="0.3">
      <c r="A116" s="1">
        <v>2</v>
      </c>
      <c r="B116" s="1">
        <v>686</v>
      </c>
      <c r="C116" s="1" t="s">
        <v>10</v>
      </c>
      <c r="D116" s="1" t="s">
        <v>16</v>
      </c>
      <c r="E116" s="1" t="s">
        <v>12</v>
      </c>
      <c r="F116" t="e">
        <f>TEXT(#REF!,"YYY")</f>
        <v>#REF!</v>
      </c>
      <c r="G116" t="e">
        <f>TEXT(#REF!,"MMM")</f>
        <v>#REF!</v>
      </c>
      <c r="H116" t="e">
        <f>TEXT(#REF!,"DDD")</f>
        <v>#REF!</v>
      </c>
      <c r="I116" t="e">
        <f>DATEDIF(#REF!,#REF!,"D")</f>
        <v>#REF!</v>
      </c>
      <c r="J116" s="7" t="e">
        <f>ROUND(Table2[[#This Row],[Quantity]]*Table2[[#This Row],[Unit Price]]*VLOOKUP(#REF!,Table_1[#All],2,FALSE),0)</f>
        <v>#REF!</v>
      </c>
      <c r="K116" s="7">
        <f>Table2[[#This Row],[Quantity]]*Table2[[#This Row],[Unit Price]]</f>
        <v>1372</v>
      </c>
      <c r="L116" s="7" t="e">
        <f>Table2[[#This Row],[Sales Revenue]]-Table2[[#This Row],[Total Cost After Product Percentage Calc]]</f>
        <v>#REF!</v>
      </c>
    </row>
    <row r="117" spans="1:12" ht="14.25" customHeight="1" x14ac:dyDescent="0.3">
      <c r="A117" s="1">
        <v>10</v>
      </c>
      <c r="B117" s="1">
        <v>121</v>
      </c>
      <c r="C117" s="1" t="s">
        <v>10</v>
      </c>
      <c r="D117" s="1" t="s">
        <v>21</v>
      </c>
      <c r="E117" s="1" t="s">
        <v>22</v>
      </c>
      <c r="F117" t="e">
        <f>TEXT(#REF!,"YYY")</f>
        <v>#REF!</v>
      </c>
      <c r="G117" t="e">
        <f>TEXT(#REF!,"MMM")</f>
        <v>#REF!</v>
      </c>
      <c r="H117" t="e">
        <f>TEXT(#REF!,"DDD")</f>
        <v>#REF!</v>
      </c>
      <c r="I117" t="e">
        <f>DATEDIF(#REF!,#REF!,"D")</f>
        <v>#REF!</v>
      </c>
      <c r="J117" s="7" t="e">
        <f>ROUND(Table2[[#This Row],[Quantity]]*Table2[[#This Row],[Unit Price]]*VLOOKUP(#REF!,Table_1[#All],2,FALSE),0)</f>
        <v>#REF!</v>
      </c>
      <c r="K117" s="7">
        <f>Table2[[#This Row],[Quantity]]*Table2[[#This Row],[Unit Price]]</f>
        <v>1210</v>
      </c>
      <c r="L117" s="7" t="e">
        <f>Table2[[#This Row],[Sales Revenue]]-Table2[[#This Row],[Total Cost After Product Percentage Calc]]</f>
        <v>#REF!</v>
      </c>
    </row>
    <row r="118" spans="1:12" ht="14.25" customHeight="1" x14ac:dyDescent="0.3">
      <c r="A118" s="1">
        <v>9</v>
      </c>
      <c r="B118" s="1">
        <v>318</v>
      </c>
      <c r="C118" s="1" t="s">
        <v>10</v>
      </c>
      <c r="D118" s="1" t="s">
        <v>21</v>
      </c>
      <c r="E118" s="1" t="s">
        <v>14</v>
      </c>
      <c r="F118" t="e">
        <f>TEXT(#REF!,"YYY")</f>
        <v>#REF!</v>
      </c>
      <c r="G118" t="e">
        <f>TEXT(#REF!,"MMM")</f>
        <v>#REF!</v>
      </c>
      <c r="H118" t="e">
        <f>TEXT(#REF!,"DDD")</f>
        <v>#REF!</v>
      </c>
      <c r="I118" t="e">
        <f>DATEDIF(#REF!,#REF!,"D")</f>
        <v>#REF!</v>
      </c>
      <c r="J118" s="7" t="e">
        <f>ROUND(Table2[[#This Row],[Quantity]]*Table2[[#This Row],[Unit Price]]*VLOOKUP(#REF!,Table_1[#All],2,FALSE),0)</f>
        <v>#REF!</v>
      </c>
      <c r="K118" s="7">
        <f>Table2[[#This Row],[Quantity]]*Table2[[#This Row],[Unit Price]]</f>
        <v>2862</v>
      </c>
      <c r="L118" s="7" t="e">
        <f>Table2[[#This Row],[Sales Revenue]]-Table2[[#This Row],[Total Cost After Product Percentage Calc]]</f>
        <v>#REF!</v>
      </c>
    </row>
    <row r="119" spans="1:12" ht="14.25" customHeight="1" x14ac:dyDescent="0.3">
      <c r="A119" s="1">
        <v>2</v>
      </c>
      <c r="B119" s="1">
        <v>512</v>
      </c>
      <c r="C119" s="1" t="s">
        <v>10</v>
      </c>
      <c r="D119" s="1" t="s">
        <v>24</v>
      </c>
      <c r="E119" s="1" t="s">
        <v>12</v>
      </c>
      <c r="F119" t="e">
        <f>TEXT(#REF!,"YYY")</f>
        <v>#REF!</v>
      </c>
      <c r="G119" t="e">
        <f>TEXT(#REF!,"MMM")</f>
        <v>#REF!</v>
      </c>
      <c r="H119" t="e">
        <f>TEXT(#REF!,"DDD")</f>
        <v>#REF!</v>
      </c>
      <c r="I119" t="e">
        <f>DATEDIF(#REF!,#REF!,"D")</f>
        <v>#REF!</v>
      </c>
      <c r="J119" s="7" t="e">
        <f>ROUND(Table2[[#This Row],[Quantity]]*Table2[[#This Row],[Unit Price]]*VLOOKUP(#REF!,Table_1[#All],2,FALSE),0)</f>
        <v>#REF!</v>
      </c>
      <c r="K119" s="7">
        <f>Table2[[#This Row],[Quantity]]*Table2[[#This Row],[Unit Price]]</f>
        <v>1024</v>
      </c>
      <c r="L119" s="7" t="e">
        <f>Table2[[#This Row],[Sales Revenue]]-Table2[[#This Row],[Total Cost After Product Percentage Calc]]</f>
        <v>#REF!</v>
      </c>
    </row>
    <row r="120" spans="1:12" ht="14.25" customHeight="1" x14ac:dyDescent="0.3">
      <c r="A120" s="1">
        <v>3</v>
      </c>
      <c r="B120" s="1">
        <v>77</v>
      </c>
      <c r="C120" s="1" t="s">
        <v>20</v>
      </c>
      <c r="D120" s="1" t="s">
        <v>11</v>
      </c>
      <c r="E120" s="1" t="s">
        <v>22</v>
      </c>
      <c r="F120" t="e">
        <f>TEXT(#REF!,"YYY")</f>
        <v>#REF!</v>
      </c>
      <c r="G120" t="e">
        <f>TEXT(#REF!,"MMM")</f>
        <v>#REF!</v>
      </c>
      <c r="H120" t="e">
        <f>TEXT(#REF!,"DDD")</f>
        <v>#REF!</v>
      </c>
      <c r="I120" t="e">
        <f>DATEDIF(#REF!,#REF!,"D")</f>
        <v>#REF!</v>
      </c>
      <c r="J120" s="7" t="e">
        <f>ROUND(Table2[[#This Row],[Quantity]]*Table2[[#This Row],[Unit Price]]*VLOOKUP(#REF!,Table_1[#All],2,FALSE),0)</f>
        <v>#REF!</v>
      </c>
      <c r="K120" s="7">
        <f>Table2[[#This Row],[Quantity]]*Table2[[#This Row],[Unit Price]]</f>
        <v>231</v>
      </c>
      <c r="L120" s="7" t="e">
        <f>Table2[[#This Row],[Sales Revenue]]-Table2[[#This Row],[Total Cost After Product Percentage Calc]]</f>
        <v>#REF!</v>
      </c>
    </row>
    <row r="121" spans="1:12" ht="14.25" customHeight="1" x14ac:dyDescent="0.3">
      <c r="A121" s="1">
        <v>7</v>
      </c>
      <c r="B121" s="1">
        <v>111</v>
      </c>
      <c r="C121" s="1" t="s">
        <v>20</v>
      </c>
      <c r="D121" s="1" t="s">
        <v>16</v>
      </c>
      <c r="E121" s="1" t="s">
        <v>30</v>
      </c>
      <c r="F121" t="e">
        <f>TEXT(#REF!,"YYY")</f>
        <v>#REF!</v>
      </c>
      <c r="G121" t="e">
        <f>TEXT(#REF!,"MMM")</f>
        <v>#REF!</v>
      </c>
      <c r="H121" t="e">
        <f>TEXT(#REF!,"DDD")</f>
        <v>#REF!</v>
      </c>
      <c r="I121" t="e">
        <f>DATEDIF(#REF!,#REF!,"D")</f>
        <v>#REF!</v>
      </c>
      <c r="J121" s="7" t="e">
        <f>ROUND(Table2[[#This Row],[Quantity]]*Table2[[#This Row],[Unit Price]]*VLOOKUP(#REF!,Table_1[#All],2,FALSE),0)</f>
        <v>#REF!</v>
      </c>
      <c r="K121" s="7">
        <f>Table2[[#This Row],[Quantity]]*Table2[[#This Row],[Unit Price]]</f>
        <v>777</v>
      </c>
      <c r="L121" s="7" t="e">
        <f>Table2[[#This Row],[Sales Revenue]]-Table2[[#This Row],[Total Cost After Product Percentage Calc]]</f>
        <v>#REF!</v>
      </c>
    </row>
    <row r="122" spans="1:12" ht="14.25" customHeight="1" x14ac:dyDescent="0.3">
      <c r="A122" s="1">
        <v>2</v>
      </c>
      <c r="B122" s="1">
        <v>330</v>
      </c>
      <c r="C122" s="1" t="s">
        <v>20</v>
      </c>
      <c r="D122" s="1" t="s">
        <v>21</v>
      </c>
      <c r="E122" s="1" t="s">
        <v>30</v>
      </c>
      <c r="F122" t="e">
        <f>TEXT(#REF!,"YYY")</f>
        <v>#REF!</v>
      </c>
      <c r="G122" t="e">
        <f>TEXT(#REF!,"MMM")</f>
        <v>#REF!</v>
      </c>
      <c r="H122" t="e">
        <f>TEXT(#REF!,"DDD")</f>
        <v>#REF!</v>
      </c>
      <c r="I122" t="e">
        <f>DATEDIF(#REF!,#REF!,"D")</f>
        <v>#REF!</v>
      </c>
      <c r="J122" s="7" t="e">
        <f>ROUND(Table2[[#This Row],[Quantity]]*Table2[[#This Row],[Unit Price]]*VLOOKUP(#REF!,Table_1[#All],2,FALSE),0)</f>
        <v>#REF!</v>
      </c>
      <c r="K122" s="7">
        <f>Table2[[#This Row],[Quantity]]*Table2[[#This Row],[Unit Price]]</f>
        <v>660</v>
      </c>
      <c r="L122" s="7" t="e">
        <f>Table2[[#This Row],[Sales Revenue]]-Table2[[#This Row],[Total Cost After Product Percentage Calc]]</f>
        <v>#REF!</v>
      </c>
    </row>
    <row r="123" spans="1:12" ht="14.25" customHeight="1" x14ac:dyDescent="0.3">
      <c r="A123" s="1">
        <v>8</v>
      </c>
      <c r="B123" s="1">
        <v>78</v>
      </c>
      <c r="C123" s="1" t="s">
        <v>10</v>
      </c>
      <c r="D123" s="1" t="s">
        <v>11</v>
      </c>
      <c r="E123" s="1" t="s">
        <v>14</v>
      </c>
      <c r="F123" t="e">
        <f>TEXT(#REF!,"YYY")</f>
        <v>#REF!</v>
      </c>
      <c r="G123" t="e">
        <f>TEXT(#REF!,"MMM")</f>
        <v>#REF!</v>
      </c>
      <c r="H123" t="e">
        <f>TEXT(#REF!,"DDD")</f>
        <v>#REF!</v>
      </c>
      <c r="I123" t="e">
        <f>DATEDIF(#REF!,#REF!,"D")</f>
        <v>#REF!</v>
      </c>
      <c r="J123" s="7" t="e">
        <f>ROUND(Table2[[#This Row],[Quantity]]*Table2[[#This Row],[Unit Price]]*VLOOKUP(#REF!,Table_1[#All],2,FALSE),0)</f>
        <v>#REF!</v>
      </c>
      <c r="K123" s="7">
        <f>Table2[[#This Row],[Quantity]]*Table2[[#This Row],[Unit Price]]</f>
        <v>624</v>
      </c>
      <c r="L123" s="7" t="e">
        <f>Table2[[#This Row],[Sales Revenue]]-Table2[[#This Row],[Total Cost After Product Percentage Calc]]</f>
        <v>#REF!</v>
      </c>
    </row>
    <row r="124" spans="1:12" ht="14.25" customHeight="1" x14ac:dyDescent="0.3">
      <c r="A124" s="1">
        <v>3</v>
      </c>
      <c r="B124" s="1">
        <v>579</v>
      </c>
      <c r="C124" s="1" t="s">
        <v>20</v>
      </c>
      <c r="D124" s="1" t="s">
        <v>11</v>
      </c>
      <c r="E124" s="1" t="s">
        <v>14</v>
      </c>
      <c r="F124" t="e">
        <f>TEXT(#REF!,"YYY")</f>
        <v>#REF!</v>
      </c>
      <c r="G124" t="e">
        <f>TEXT(#REF!,"MMM")</f>
        <v>#REF!</v>
      </c>
      <c r="H124" t="e">
        <f>TEXT(#REF!,"DDD")</f>
        <v>#REF!</v>
      </c>
      <c r="I124" t="e">
        <f>DATEDIF(#REF!,#REF!,"D")</f>
        <v>#REF!</v>
      </c>
      <c r="J124" s="7" t="e">
        <f>ROUND(Table2[[#This Row],[Quantity]]*Table2[[#This Row],[Unit Price]]*VLOOKUP(#REF!,Table_1[#All],2,FALSE),0)</f>
        <v>#REF!</v>
      </c>
      <c r="K124" s="7">
        <f>Table2[[#This Row],[Quantity]]*Table2[[#This Row],[Unit Price]]</f>
        <v>1737</v>
      </c>
      <c r="L124" s="7" t="e">
        <f>Table2[[#This Row],[Sales Revenue]]-Table2[[#This Row],[Total Cost After Product Percentage Calc]]</f>
        <v>#REF!</v>
      </c>
    </row>
    <row r="125" spans="1:12" ht="14.25" customHeight="1" x14ac:dyDescent="0.3">
      <c r="A125" s="1">
        <v>2</v>
      </c>
      <c r="B125" s="1">
        <v>430</v>
      </c>
      <c r="C125" s="1" t="s">
        <v>20</v>
      </c>
      <c r="D125" s="1" t="s">
        <v>31</v>
      </c>
      <c r="E125" s="1" t="s">
        <v>30</v>
      </c>
      <c r="F125" t="e">
        <f>TEXT(#REF!,"YYY")</f>
        <v>#REF!</v>
      </c>
      <c r="G125" t="e">
        <f>TEXT(#REF!,"MMM")</f>
        <v>#REF!</v>
      </c>
      <c r="H125" t="e">
        <f>TEXT(#REF!,"DDD")</f>
        <v>#REF!</v>
      </c>
      <c r="I125" t="e">
        <f>DATEDIF(#REF!,#REF!,"D")</f>
        <v>#REF!</v>
      </c>
      <c r="J125" s="7" t="e">
        <f>ROUND(Table2[[#This Row],[Quantity]]*Table2[[#This Row],[Unit Price]]*VLOOKUP(#REF!,Table_1[#All],2,FALSE),0)</f>
        <v>#REF!</v>
      </c>
      <c r="K125" s="7">
        <f>Table2[[#This Row],[Quantity]]*Table2[[#This Row],[Unit Price]]</f>
        <v>860</v>
      </c>
      <c r="L125" s="7" t="e">
        <f>Table2[[#This Row],[Sales Revenue]]-Table2[[#This Row],[Total Cost After Product Percentage Calc]]</f>
        <v>#REF!</v>
      </c>
    </row>
    <row r="126" spans="1:12" ht="14.25" customHeight="1" x14ac:dyDescent="0.3">
      <c r="A126" s="1">
        <v>5</v>
      </c>
      <c r="B126" s="1">
        <v>370</v>
      </c>
      <c r="C126" s="1" t="s">
        <v>20</v>
      </c>
      <c r="D126" s="1" t="s">
        <v>11</v>
      </c>
      <c r="E126" s="1" t="s">
        <v>12</v>
      </c>
      <c r="F126" t="e">
        <f>TEXT(#REF!,"YYY")</f>
        <v>#REF!</v>
      </c>
      <c r="G126" t="e">
        <f>TEXT(#REF!,"MMM")</f>
        <v>#REF!</v>
      </c>
      <c r="H126" t="e">
        <f>TEXT(#REF!,"DDD")</f>
        <v>#REF!</v>
      </c>
      <c r="I126" t="e">
        <f>DATEDIF(#REF!,#REF!,"D")</f>
        <v>#REF!</v>
      </c>
      <c r="J126" s="7" t="e">
        <f>ROUND(Table2[[#This Row],[Quantity]]*Table2[[#This Row],[Unit Price]]*VLOOKUP(#REF!,Table_1[#All],2,FALSE),0)</f>
        <v>#REF!</v>
      </c>
      <c r="K126" s="7">
        <f>Table2[[#This Row],[Quantity]]*Table2[[#This Row],[Unit Price]]</f>
        <v>1850</v>
      </c>
      <c r="L126" s="7" t="e">
        <f>Table2[[#This Row],[Sales Revenue]]-Table2[[#This Row],[Total Cost After Product Percentage Calc]]</f>
        <v>#REF!</v>
      </c>
    </row>
    <row r="127" spans="1:12" ht="14.25" customHeight="1" x14ac:dyDescent="0.3">
      <c r="A127" s="1">
        <v>5</v>
      </c>
      <c r="B127" s="1">
        <v>597</v>
      </c>
      <c r="C127" s="1" t="s">
        <v>20</v>
      </c>
      <c r="D127" s="1" t="s">
        <v>11</v>
      </c>
      <c r="E127" s="1" t="s">
        <v>30</v>
      </c>
      <c r="F127" t="e">
        <f>TEXT(#REF!,"YYY")</f>
        <v>#REF!</v>
      </c>
      <c r="G127" t="e">
        <f>TEXT(#REF!,"MMM")</f>
        <v>#REF!</v>
      </c>
      <c r="H127" t="e">
        <f>TEXT(#REF!,"DDD")</f>
        <v>#REF!</v>
      </c>
      <c r="I127" t="e">
        <f>DATEDIF(#REF!,#REF!,"D")</f>
        <v>#REF!</v>
      </c>
      <c r="J127" s="7" t="e">
        <f>ROUND(Table2[[#This Row],[Quantity]]*Table2[[#This Row],[Unit Price]]*VLOOKUP(#REF!,Table_1[#All],2,FALSE),0)</f>
        <v>#REF!</v>
      </c>
      <c r="K127" s="7">
        <f>Table2[[#This Row],[Quantity]]*Table2[[#This Row],[Unit Price]]</f>
        <v>2985</v>
      </c>
      <c r="L127" s="7" t="e">
        <f>Table2[[#This Row],[Sales Revenue]]-Table2[[#This Row],[Total Cost After Product Percentage Calc]]</f>
        <v>#REF!</v>
      </c>
    </row>
    <row r="128" spans="1:12" ht="14.25" customHeight="1" x14ac:dyDescent="0.3">
      <c r="A128" s="1">
        <v>9</v>
      </c>
      <c r="B128" s="1">
        <v>36</v>
      </c>
      <c r="C128" s="1" t="s">
        <v>10</v>
      </c>
      <c r="D128" s="1" t="s">
        <v>24</v>
      </c>
      <c r="E128" s="1" t="s">
        <v>30</v>
      </c>
      <c r="F128" t="e">
        <f>TEXT(#REF!,"YYY")</f>
        <v>#REF!</v>
      </c>
      <c r="G128" t="e">
        <f>TEXT(#REF!,"MMM")</f>
        <v>#REF!</v>
      </c>
      <c r="H128" t="e">
        <f>TEXT(#REF!,"DDD")</f>
        <v>#REF!</v>
      </c>
      <c r="I128" t="e">
        <f>DATEDIF(#REF!,#REF!,"D")</f>
        <v>#REF!</v>
      </c>
      <c r="J128" s="7" t="e">
        <f>ROUND(Table2[[#This Row],[Quantity]]*Table2[[#This Row],[Unit Price]]*VLOOKUP(#REF!,Table_1[#All],2,FALSE),0)</f>
        <v>#REF!</v>
      </c>
      <c r="K128" s="7">
        <f>Table2[[#This Row],[Quantity]]*Table2[[#This Row],[Unit Price]]</f>
        <v>324</v>
      </c>
      <c r="L128" s="7" t="e">
        <f>Table2[[#This Row],[Sales Revenue]]-Table2[[#This Row],[Total Cost After Product Percentage Calc]]</f>
        <v>#REF!</v>
      </c>
    </row>
    <row r="129" spans="1:12" ht="14.25" customHeight="1" x14ac:dyDescent="0.3">
      <c r="A129" s="1">
        <v>5</v>
      </c>
      <c r="B129" s="1">
        <v>953</v>
      </c>
      <c r="C129" s="1" t="s">
        <v>10</v>
      </c>
      <c r="D129" s="1" t="s">
        <v>31</v>
      </c>
      <c r="E129" s="1" t="s">
        <v>12</v>
      </c>
      <c r="F129" t="e">
        <f>TEXT(#REF!,"YYY")</f>
        <v>#REF!</v>
      </c>
      <c r="G129" t="e">
        <f>TEXT(#REF!,"MMM")</f>
        <v>#REF!</v>
      </c>
      <c r="H129" t="e">
        <f>TEXT(#REF!,"DDD")</f>
        <v>#REF!</v>
      </c>
      <c r="I129" t="e">
        <f>DATEDIF(#REF!,#REF!,"D")</f>
        <v>#REF!</v>
      </c>
      <c r="J129" s="7" t="e">
        <f>ROUND(Table2[[#This Row],[Quantity]]*Table2[[#This Row],[Unit Price]]*VLOOKUP(#REF!,Table_1[#All],2,FALSE),0)</f>
        <v>#REF!</v>
      </c>
      <c r="K129" s="7">
        <f>Table2[[#This Row],[Quantity]]*Table2[[#This Row],[Unit Price]]</f>
        <v>4765</v>
      </c>
      <c r="L129" s="7" t="e">
        <f>Table2[[#This Row],[Sales Revenue]]-Table2[[#This Row],[Total Cost After Product Percentage Calc]]</f>
        <v>#REF!</v>
      </c>
    </row>
    <row r="130" spans="1:12" ht="14.25" customHeight="1" x14ac:dyDescent="0.3">
      <c r="A130" s="1">
        <v>7</v>
      </c>
      <c r="B130" s="1">
        <v>81</v>
      </c>
      <c r="C130" s="1" t="s">
        <v>10</v>
      </c>
      <c r="D130" s="1" t="s">
        <v>11</v>
      </c>
      <c r="E130" s="1" t="s">
        <v>14</v>
      </c>
      <c r="F130" t="e">
        <f>TEXT(#REF!,"YYY")</f>
        <v>#REF!</v>
      </c>
      <c r="G130" t="e">
        <f>TEXT(#REF!,"MMM")</f>
        <v>#REF!</v>
      </c>
      <c r="H130" t="e">
        <f>TEXT(#REF!,"DDD")</f>
        <v>#REF!</v>
      </c>
      <c r="I130" t="e">
        <f>DATEDIF(#REF!,#REF!,"D")</f>
        <v>#REF!</v>
      </c>
      <c r="J130" s="7" t="e">
        <f>ROUND(Table2[[#This Row],[Quantity]]*Table2[[#This Row],[Unit Price]]*VLOOKUP(#REF!,Table_1[#All],2,FALSE),0)</f>
        <v>#REF!</v>
      </c>
      <c r="K130" s="7">
        <f>Table2[[#This Row],[Quantity]]*Table2[[#This Row],[Unit Price]]</f>
        <v>567</v>
      </c>
      <c r="L130" s="7" t="e">
        <f>Table2[[#This Row],[Sales Revenue]]-Table2[[#This Row],[Total Cost After Product Percentage Calc]]</f>
        <v>#REF!</v>
      </c>
    </row>
    <row r="131" spans="1:12" ht="14.25" customHeight="1" x14ac:dyDescent="0.3">
      <c r="A131" s="1">
        <v>10</v>
      </c>
      <c r="B131" s="1">
        <v>96</v>
      </c>
      <c r="C131" s="1" t="s">
        <v>10</v>
      </c>
      <c r="D131" s="1" t="s">
        <v>11</v>
      </c>
      <c r="E131" s="1" t="s">
        <v>22</v>
      </c>
      <c r="F131" t="e">
        <f>TEXT(#REF!,"YYY")</f>
        <v>#REF!</v>
      </c>
      <c r="G131" t="e">
        <f>TEXT(#REF!,"MMM")</f>
        <v>#REF!</v>
      </c>
      <c r="H131" t="e">
        <f>TEXT(#REF!,"DDD")</f>
        <v>#REF!</v>
      </c>
      <c r="I131" t="e">
        <f>DATEDIF(#REF!,#REF!,"D")</f>
        <v>#REF!</v>
      </c>
      <c r="J131" s="7" t="e">
        <f>ROUND(Table2[[#This Row],[Quantity]]*Table2[[#This Row],[Unit Price]]*VLOOKUP(#REF!,Table_1[#All],2,FALSE),0)</f>
        <v>#REF!</v>
      </c>
      <c r="K131" s="7">
        <f>Table2[[#This Row],[Quantity]]*Table2[[#This Row],[Unit Price]]</f>
        <v>960</v>
      </c>
      <c r="L131" s="7" t="e">
        <f>Table2[[#This Row],[Sales Revenue]]-Table2[[#This Row],[Total Cost After Product Percentage Calc]]</f>
        <v>#REF!</v>
      </c>
    </row>
    <row r="132" spans="1:12" ht="14.25" customHeight="1" x14ac:dyDescent="0.3">
      <c r="A132" s="1">
        <v>5</v>
      </c>
      <c r="B132" s="1">
        <v>230</v>
      </c>
      <c r="C132" s="1" t="s">
        <v>10</v>
      </c>
      <c r="D132" s="1" t="s">
        <v>16</v>
      </c>
      <c r="E132" s="1" t="s">
        <v>14</v>
      </c>
      <c r="F132" t="e">
        <f>TEXT(#REF!,"YYY")</f>
        <v>#REF!</v>
      </c>
      <c r="G132" t="e">
        <f>TEXT(#REF!,"MMM")</f>
        <v>#REF!</v>
      </c>
      <c r="H132" t="e">
        <f>TEXT(#REF!,"DDD")</f>
        <v>#REF!</v>
      </c>
      <c r="I132" t="e">
        <f>DATEDIF(#REF!,#REF!,"D")</f>
        <v>#REF!</v>
      </c>
      <c r="J132" s="7" t="e">
        <f>ROUND(Table2[[#This Row],[Quantity]]*Table2[[#This Row],[Unit Price]]*VLOOKUP(#REF!,Table_1[#All],2,FALSE),0)</f>
        <v>#REF!</v>
      </c>
      <c r="K132" s="7">
        <f>Table2[[#This Row],[Quantity]]*Table2[[#This Row],[Unit Price]]</f>
        <v>1150</v>
      </c>
      <c r="L132" s="7" t="e">
        <f>Table2[[#This Row],[Sales Revenue]]-Table2[[#This Row],[Total Cost After Product Percentage Calc]]</f>
        <v>#REF!</v>
      </c>
    </row>
    <row r="133" spans="1:12" ht="14.25" customHeight="1" x14ac:dyDescent="0.3">
      <c r="A133" s="1">
        <v>4</v>
      </c>
      <c r="B133" s="1">
        <v>414</v>
      </c>
      <c r="C133" s="1" t="s">
        <v>10</v>
      </c>
      <c r="D133" s="1" t="s">
        <v>24</v>
      </c>
      <c r="E133" s="1" t="s">
        <v>12</v>
      </c>
      <c r="F133" t="e">
        <f>TEXT(#REF!,"YYY")</f>
        <v>#REF!</v>
      </c>
      <c r="G133" t="e">
        <f>TEXT(#REF!,"MMM")</f>
        <v>#REF!</v>
      </c>
      <c r="H133" t="e">
        <f>TEXT(#REF!,"DDD")</f>
        <v>#REF!</v>
      </c>
      <c r="I133" t="e">
        <f>DATEDIF(#REF!,#REF!,"D")</f>
        <v>#REF!</v>
      </c>
      <c r="J133" s="7" t="e">
        <f>ROUND(Table2[[#This Row],[Quantity]]*Table2[[#This Row],[Unit Price]]*VLOOKUP(#REF!,Table_1[#All],2,FALSE),0)</f>
        <v>#REF!</v>
      </c>
      <c r="K133" s="7">
        <f>Table2[[#This Row],[Quantity]]*Table2[[#This Row],[Unit Price]]</f>
        <v>1656</v>
      </c>
      <c r="L133" s="7" t="e">
        <f>Table2[[#This Row],[Sales Revenue]]-Table2[[#This Row],[Total Cost After Product Percentage Calc]]</f>
        <v>#REF!</v>
      </c>
    </row>
    <row r="134" spans="1:12" ht="14.25" customHeight="1" x14ac:dyDescent="0.3">
      <c r="A134" s="1">
        <v>7</v>
      </c>
      <c r="B134" s="1">
        <v>189</v>
      </c>
      <c r="C134" s="1" t="s">
        <v>20</v>
      </c>
      <c r="D134" s="1" t="s">
        <v>11</v>
      </c>
      <c r="E134" s="1" t="s">
        <v>14</v>
      </c>
      <c r="F134" t="e">
        <f>TEXT(#REF!,"YYY")</f>
        <v>#REF!</v>
      </c>
      <c r="G134" t="e">
        <f>TEXT(#REF!,"MMM")</f>
        <v>#REF!</v>
      </c>
      <c r="H134" t="e">
        <f>TEXT(#REF!,"DDD")</f>
        <v>#REF!</v>
      </c>
      <c r="I134" t="e">
        <f>DATEDIF(#REF!,#REF!,"D")</f>
        <v>#REF!</v>
      </c>
      <c r="J134" s="7" t="e">
        <f>ROUND(Table2[[#This Row],[Quantity]]*Table2[[#This Row],[Unit Price]]*VLOOKUP(#REF!,Table_1[#All],2,FALSE),0)</f>
        <v>#REF!</v>
      </c>
      <c r="K134" s="7">
        <f>Table2[[#This Row],[Quantity]]*Table2[[#This Row],[Unit Price]]</f>
        <v>1323</v>
      </c>
      <c r="L134" s="7" t="e">
        <f>Table2[[#This Row],[Sales Revenue]]-Table2[[#This Row],[Total Cost After Product Percentage Calc]]</f>
        <v>#REF!</v>
      </c>
    </row>
    <row r="135" spans="1:12" ht="14.25" customHeight="1" x14ac:dyDescent="0.3">
      <c r="A135" s="1">
        <v>7</v>
      </c>
      <c r="B135" s="1">
        <v>31</v>
      </c>
      <c r="C135" s="1" t="s">
        <v>20</v>
      </c>
      <c r="D135" s="1" t="s">
        <v>31</v>
      </c>
      <c r="E135" s="1" t="s">
        <v>14</v>
      </c>
      <c r="F135" t="e">
        <f>TEXT(#REF!,"YYY")</f>
        <v>#REF!</v>
      </c>
      <c r="G135" t="e">
        <f>TEXT(#REF!,"MMM")</f>
        <v>#REF!</v>
      </c>
      <c r="H135" t="e">
        <f>TEXT(#REF!,"DDD")</f>
        <v>#REF!</v>
      </c>
      <c r="I135" t="e">
        <f>DATEDIF(#REF!,#REF!,"D")</f>
        <v>#REF!</v>
      </c>
      <c r="J135" s="7" t="e">
        <f>ROUND(Table2[[#This Row],[Quantity]]*Table2[[#This Row],[Unit Price]]*VLOOKUP(#REF!,Table_1[#All],2,FALSE),0)</f>
        <v>#REF!</v>
      </c>
      <c r="K135" s="7">
        <f>Table2[[#This Row],[Quantity]]*Table2[[#This Row],[Unit Price]]</f>
        <v>217</v>
      </c>
      <c r="L135" s="7" t="e">
        <f>Table2[[#This Row],[Sales Revenue]]-Table2[[#This Row],[Total Cost After Product Percentage Calc]]</f>
        <v>#REF!</v>
      </c>
    </row>
    <row r="136" spans="1:12" ht="14.25" customHeight="1" x14ac:dyDescent="0.3">
      <c r="A136" s="1">
        <v>2</v>
      </c>
      <c r="B136" s="1">
        <v>415</v>
      </c>
      <c r="C136" s="1" t="s">
        <v>20</v>
      </c>
      <c r="D136" s="1" t="s">
        <v>16</v>
      </c>
      <c r="E136" s="1" t="s">
        <v>22</v>
      </c>
      <c r="F136" t="e">
        <f>TEXT(#REF!,"YYY")</f>
        <v>#REF!</v>
      </c>
      <c r="G136" t="e">
        <f>TEXT(#REF!,"MMM")</f>
        <v>#REF!</v>
      </c>
      <c r="H136" t="e">
        <f>TEXT(#REF!,"DDD")</f>
        <v>#REF!</v>
      </c>
      <c r="I136" t="e">
        <f>DATEDIF(#REF!,#REF!,"D")</f>
        <v>#REF!</v>
      </c>
      <c r="J136" s="7" t="e">
        <f>ROUND(Table2[[#This Row],[Quantity]]*Table2[[#This Row],[Unit Price]]*VLOOKUP(#REF!,Table_1[#All],2,FALSE),0)</f>
        <v>#REF!</v>
      </c>
      <c r="K136" s="7">
        <f>Table2[[#This Row],[Quantity]]*Table2[[#This Row],[Unit Price]]</f>
        <v>830</v>
      </c>
      <c r="L136" s="7" t="e">
        <f>Table2[[#This Row],[Sales Revenue]]-Table2[[#This Row],[Total Cost After Product Percentage Calc]]</f>
        <v>#REF!</v>
      </c>
    </row>
    <row r="137" spans="1:12" ht="14.25" customHeight="1" x14ac:dyDescent="0.3">
      <c r="A137" s="1">
        <v>3</v>
      </c>
      <c r="B137" s="1">
        <v>88</v>
      </c>
      <c r="C137" s="1" t="s">
        <v>20</v>
      </c>
      <c r="D137" s="1" t="s">
        <v>24</v>
      </c>
      <c r="E137" s="1" t="s">
        <v>12</v>
      </c>
      <c r="F137" t="e">
        <f>TEXT(#REF!,"YYY")</f>
        <v>#REF!</v>
      </c>
      <c r="G137" t="e">
        <f>TEXT(#REF!,"MMM")</f>
        <v>#REF!</v>
      </c>
      <c r="H137" t="e">
        <f>TEXT(#REF!,"DDD")</f>
        <v>#REF!</v>
      </c>
      <c r="I137" t="e">
        <f>DATEDIF(#REF!,#REF!,"D")</f>
        <v>#REF!</v>
      </c>
      <c r="J137" s="7" t="e">
        <f>ROUND(Table2[[#This Row],[Quantity]]*Table2[[#This Row],[Unit Price]]*VLOOKUP(#REF!,Table_1[#All],2,FALSE),0)</f>
        <v>#REF!</v>
      </c>
      <c r="K137" s="7">
        <f>Table2[[#This Row],[Quantity]]*Table2[[#This Row],[Unit Price]]</f>
        <v>264</v>
      </c>
      <c r="L137" s="7" t="e">
        <f>Table2[[#This Row],[Sales Revenue]]-Table2[[#This Row],[Total Cost After Product Percentage Calc]]</f>
        <v>#REF!</v>
      </c>
    </row>
    <row r="138" spans="1:12" ht="14.25" customHeight="1" x14ac:dyDescent="0.3">
      <c r="A138" s="1">
        <v>6</v>
      </c>
      <c r="B138" s="1">
        <v>754</v>
      </c>
      <c r="C138" s="1" t="s">
        <v>10</v>
      </c>
      <c r="D138" s="1" t="s">
        <v>16</v>
      </c>
      <c r="E138" s="1" t="s">
        <v>12</v>
      </c>
      <c r="F138" t="e">
        <f>TEXT(#REF!,"YYY")</f>
        <v>#REF!</v>
      </c>
      <c r="G138" t="e">
        <f>TEXT(#REF!,"MMM")</f>
        <v>#REF!</v>
      </c>
      <c r="H138" t="e">
        <f>TEXT(#REF!,"DDD")</f>
        <v>#REF!</v>
      </c>
      <c r="I138" t="e">
        <f>DATEDIF(#REF!,#REF!,"D")</f>
        <v>#REF!</v>
      </c>
      <c r="J138" s="7" t="e">
        <f>ROUND(Table2[[#This Row],[Quantity]]*Table2[[#This Row],[Unit Price]]*VLOOKUP(#REF!,Table_1[#All],2,FALSE),0)</f>
        <v>#REF!</v>
      </c>
      <c r="K138" s="7">
        <f>Table2[[#This Row],[Quantity]]*Table2[[#This Row],[Unit Price]]</f>
        <v>4524</v>
      </c>
      <c r="L138" s="7" t="e">
        <f>Table2[[#This Row],[Sales Revenue]]-Table2[[#This Row],[Total Cost After Product Percentage Calc]]</f>
        <v>#REF!</v>
      </c>
    </row>
    <row r="139" spans="1:12" ht="14.25" customHeight="1" x14ac:dyDescent="0.3">
      <c r="A139" s="1">
        <v>4</v>
      </c>
      <c r="B139" s="1">
        <v>187</v>
      </c>
      <c r="C139" s="1" t="s">
        <v>20</v>
      </c>
      <c r="D139" s="1" t="s">
        <v>24</v>
      </c>
      <c r="E139" s="1" t="s">
        <v>12</v>
      </c>
      <c r="F139" t="e">
        <f>TEXT(#REF!,"YYY")</f>
        <v>#REF!</v>
      </c>
      <c r="G139" t="e">
        <f>TEXT(#REF!,"MMM")</f>
        <v>#REF!</v>
      </c>
      <c r="H139" t="e">
        <f>TEXT(#REF!,"DDD")</f>
        <v>#REF!</v>
      </c>
      <c r="I139" t="e">
        <f>DATEDIF(#REF!,#REF!,"D")</f>
        <v>#REF!</v>
      </c>
      <c r="J139" s="7" t="e">
        <f>ROUND(Table2[[#This Row],[Quantity]]*Table2[[#This Row],[Unit Price]]*VLOOKUP(#REF!,Table_1[#All],2,FALSE),0)</f>
        <v>#REF!</v>
      </c>
      <c r="K139" s="7">
        <f>Table2[[#This Row],[Quantity]]*Table2[[#This Row],[Unit Price]]</f>
        <v>748</v>
      </c>
      <c r="L139" s="7" t="e">
        <f>Table2[[#This Row],[Sales Revenue]]-Table2[[#This Row],[Total Cost After Product Percentage Calc]]</f>
        <v>#REF!</v>
      </c>
    </row>
    <row r="140" spans="1:12" ht="14.25" customHeight="1" x14ac:dyDescent="0.3">
      <c r="A140" s="1">
        <v>8</v>
      </c>
      <c r="B140" s="1">
        <v>485</v>
      </c>
      <c r="C140" s="1" t="s">
        <v>20</v>
      </c>
      <c r="D140" s="1" t="s">
        <v>16</v>
      </c>
      <c r="E140" s="1" t="s">
        <v>30</v>
      </c>
      <c r="F140" t="e">
        <f>TEXT(#REF!,"YYY")</f>
        <v>#REF!</v>
      </c>
      <c r="G140" t="e">
        <f>TEXT(#REF!,"MMM")</f>
        <v>#REF!</v>
      </c>
      <c r="H140" t="e">
        <f>TEXT(#REF!,"DDD")</f>
        <v>#REF!</v>
      </c>
      <c r="I140" t="e">
        <f>DATEDIF(#REF!,#REF!,"D")</f>
        <v>#REF!</v>
      </c>
      <c r="J140" s="7" t="e">
        <f>ROUND(Table2[[#This Row],[Quantity]]*Table2[[#This Row],[Unit Price]]*VLOOKUP(#REF!,Table_1[#All],2,FALSE),0)</f>
        <v>#REF!</v>
      </c>
      <c r="K140" s="7">
        <f>Table2[[#This Row],[Quantity]]*Table2[[#This Row],[Unit Price]]</f>
        <v>3880</v>
      </c>
      <c r="L140" s="7" t="e">
        <f>Table2[[#This Row],[Sales Revenue]]-Table2[[#This Row],[Total Cost After Product Percentage Calc]]</f>
        <v>#REF!</v>
      </c>
    </row>
    <row r="141" spans="1:12" ht="14.25" customHeight="1" x14ac:dyDescent="0.3">
      <c r="A141" s="1">
        <v>10</v>
      </c>
      <c r="B141" s="1">
        <v>340</v>
      </c>
      <c r="C141" s="1" t="s">
        <v>10</v>
      </c>
      <c r="D141" s="1" t="s">
        <v>16</v>
      </c>
      <c r="E141" s="1" t="s">
        <v>22</v>
      </c>
      <c r="F141" t="e">
        <f>TEXT(#REF!,"YYY")</f>
        <v>#REF!</v>
      </c>
      <c r="G141" t="e">
        <f>TEXT(#REF!,"MMM")</f>
        <v>#REF!</v>
      </c>
      <c r="H141" t="e">
        <f>TEXT(#REF!,"DDD")</f>
        <v>#REF!</v>
      </c>
      <c r="I141" t="e">
        <f>DATEDIF(#REF!,#REF!,"D")</f>
        <v>#REF!</v>
      </c>
      <c r="J141" s="7" t="e">
        <f>ROUND(Table2[[#This Row],[Quantity]]*Table2[[#This Row],[Unit Price]]*VLOOKUP(#REF!,Table_1[#All],2,FALSE),0)</f>
        <v>#REF!</v>
      </c>
      <c r="K141" s="7">
        <f>Table2[[#This Row],[Quantity]]*Table2[[#This Row],[Unit Price]]</f>
        <v>3400</v>
      </c>
      <c r="L141" s="7" t="e">
        <f>Table2[[#This Row],[Sales Revenue]]-Table2[[#This Row],[Total Cost After Product Percentage Calc]]</f>
        <v>#REF!</v>
      </c>
    </row>
    <row r="142" spans="1:12" ht="14.25" customHeight="1" x14ac:dyDescent="0.3">
      <c r="A142" s="1">
        <v>8</v>
      </c>
      <c r="B142" s="1">
        <v>656</v>
      </c>
      <c r="C142" s="1" t="s">
        <v>20</v>
      </c>
      <c r="D142" s="1" t="s">
        <v>31</v>
      </c>
      <c r="E142" s="1" t="s">
        <v>12</v>
      </c>
      <c r="F142" t="e">
        <f>TEXT(#REF!,"YYY")</f>
        <v>#REF!</v>
      </c>
      <c r="G142" t="e">
        <f>TEXT(#REF!,"MMM")</f>
        <v>#REF!</v>
      </c>
      <c r="H142" t="e">
        <f>TEXT(#REF!,"DDD")</f>
        <v>#REF!</v>
      </c>
      <c r="I142" t="e">
        <f>DATEDIF(#REF!,#REF!,"D")</f>
        <v>#REF!</v>
      </c>
      <c r="J142" s="7" t="e">
        <f>ROUND(Table2[[#This Row],[Quantity]]*Table2[[#This Row],[Unit Price]]*VLOOKUP(#REF!,Table_1[#All],2,FALSE),0)</f>
        <v>#REF!</v>
      </c>
      <c r="K142" s="7">
        <f>Table2[[#This Row],[Quantity]]*Table2[[#This Row],[Unit Price]]</f>
        <v>5248</v>
      </c>
      <c r="L142" s="7" t="e">
        <f>Table2[[#This Row],[Sales Revenue]]-Table2[[#This Row],[Total Cost After Product Percentage Calc]]</f>
        <v>#REF!</v>
      </c>
    </row>
    <row r="143" spans="1:12" ht="14.25" customHeight="1" x14ac:dyDescent="0.3">
      <c r="A143" s="1">
        <v>2</v>
      </c>
      <c r="B143" s="1">
        <v>327</v>
      </c>
      <c r="C143" s="1" t="s">
        <v>10</v>
      </c>
      <c r="D143" s="1" t="s">
        <v>21</v>
      </c>
      <c r="E143" s="1" t="s">
        <v>30</v>
      </c>
      <c r="F143" t="e">
        <f>TEXT(#REF!,"YYY")</f>
        <v>#REF!</v>
      </c>
      <c r="G143" t="e">
        <f>TEXT(#REF!,"MMM")</f>
        <v>#REF!</v>
      </c>
      <c r="H143" t="e">
        <f>TEXT(#REF!,"DDD")</f>
        <v>#REF!</v>
      </c>
      <c r="I143" t="e">
        <f>DATEDIF(#REF!,#REF!,"D")</f>
        <v>#REF!</v>
      </c>
      <c r="J143" s="7" t="e">
        <f>ROUND(Table2[[#This Row],[Quantity]]*Table2[[#This Row],[Unit Price]]*VLOOKUP(#REF!,Table_1[#All],2,FALSE),0)</f>
        <v>#REF!</v>
      </c>
      <c r="K143" s="7">
        <f>Table2[[#This Row],[Quantity]]*Table2[[#This Row],[Unit Price]]</f>
        <v>654</v>
      </c>
      <c r="L143" s="7" t="e">
        <f>Table2[[#This Row],[Sales Revenue]]-Table2[[#This Row],[Total Cost After Product Percentage Calc]]</f>
        <v>#REF!</v>
      </c>
    </row>
    <row r="144" spans="1:12" ht="14.25" customHeight="1" x14ac:dyDescent="0.3">
      <c r="A144" s="1">
        <v>2</v>
      </c>
      <c r="B144" s="1">
        <v>670</v>
      </c>
      <c r="C144" s="1" t="s">
        <v>20</v>
      </c>
      <c r="D144" s="1" t="s">
        <v>16</v>
      </c>
      <c r="E144" s="1" t="s">
        <v>14</v>
      </c>
      <c r="F144" t="e">
        <f>TEXT(#REF!,"YYY")</f>
        <v>#REF!</v>
      </c>
      <c r="G144" t="e">
        <f>TEXT(#REF!,"MMM")</f>
        <v>#REF!</v>
      </c>
      <c r="H144" t="e">
        <f>TEXT(#REF!,"DDD")</f>
        <v>#REF!</v>
      </c>
      <c r="I144" t="e">
        <f>DATEDIF(#REF!,#REF!,"D")</f>
        <v>#REF!</v>
      </c>
      <c r="J144" s="7" t="e">
        <f>ROUND(Table2[[#This Row],[Quantity]]*Table2[[#This Row],[Unit Price]]*VLOOKUP(#REF!,Table_1[#All],2,FALSE),0)</f>
        <v>#REF!</v>
      </c>
      <c r="K144" s="7">
        <f>Table2[[#This Row],[Quantity]]*Table2[[#This Row],[Unit Price]]</f>
        <v>1340</v>
      </c>
      <c r="L144" s="7" t="e">
        <f>Table2[[#This Row],[Sales Revenue]]-Table2[[#This Row],[Total Cost After Product Percentage Calc]]</f>
        <v>#REF!</v>
      </c>
    </row>
    <row r="145" spans="1:12" ht="14.25" customHeight="1" x14ac:dyDescent="0.3">
      <c r="A145" s="1">
        <v>10</v>
      </c>
      <c r="B145" s="1">
        <v>497</v>
      </c>
      <c r="C145" s="1" t="s">
        <v>10</v>
      </c>
      <c r="D145" s="1" t="s">
        <v>24</v>
      </c>
      <c r="E145" s="1" t="s">
        <v>30</v>
      </c>
      <c r="F145" t="e">
        <f>TEXT(#REF!,"YYY")</f>
        <v>#REF!</v>
      </c>
      <c r="G145" t="e">
        <f>TEXT(#REF!,"MMM")</f>
        <v>#REF!</v>
      </c>
      <c r="H145" t="e">
        <f>TEXT(#REF!,"DDD")</f>
        <v>#REF!</v>
      </c>
      <c r="I145" t="e">
        <f>DATEDIF(#REF!,#REF!,"D")</f>
        <v>#REF!</v>
      </c>
      <c r="J145" s="7" t="e">
        <f>ROUND(Table2[[#This Row],[Quantity]]*Table2[[#This Row],[Unit Price]]*VLOOKUP(#REF!,Table_1[#All],2,FALSE),0)</f>
        <v>#REF!</v>
      </c>
      <c r="K145" s="7">
        <f>Table2[[#This Row],[Quantity]]*Table2[[#This Row],[Unit Price]]</f>
        <v>4970</v>
      </c>
      <c r="L145" s="7" t="e">
        <f>Table2[[#This Row],[Sales Revenue]]-Table2[[#This Row],[Total Cost After Product Percentage Calc]]</f>
        <v>#REF!</v>
      </c>
    </row>
    <row r="146" spans="1:12" ht="14.25" customHeight="1" x14ac:dyDescent="0.3">
      <c r="A146" s="1">
        <v>2</v>
      </c>
      <c r="B146" s="1">
        <v>526</v>
      </c>
      <c r="C146" s="1" t="s">
        <v>10</v>
      </c>
      <c r="D146" s="1" t="s">
        <v>24</v>
      </c>
      <c r="E146" s="1" t="s">
        <v>22</v>
      </c>
      <c r="F146" t="e">
        <f>TEXT(#REF!,"YYY")</f>
        <v>#REF!</v>
      </c>
      <c r="G146" t="e">
        <f>TEXT(#REF!,"MMM")</f>
        <v>#REF!</v>
      </c>
      <c r="H146" t="e">
        <f>TEXT(#REF!,"DDD")</f>
        <v>#REF!</v>
      </c>
      <c r="I146" t="e">
        <f>DATEDIF(#REF!,#REF!,"D")</f>
        <v>#REF!</v>
      </c>
      <c r="J146" s="7" t="e">
        <f>ROUND(Table2[[#This Row],[Quantity]]*Table2[[#This Row],[Unit Price]]*VLOOKUP(#REF!,Table_1[#All],2,FALSE),0)</f>
        <v>#REF!</v>
      </c>
      <c r="K146" s="7">
        <f>Table2[[#This Row],[Quantity]]*Table2[[#This Row],[Unit Price]]</f>
        <v>1052</v>
      </c>
      <c r="L146" s="7" t="e">
        <f>Table2[[#This Row],[Sales Revenue]]-Table2[[#This Row],[Total Cost After Product Percentage Calc]]</f>
        <v>#REF!</v>
      </c>
    </row>
    <row r="147" spans="1:12" ht="14.25" customHeight="1" x14ac:dyDescent="0.3">
      <c r="A147" s="1">
        <v>7</v>
      </c>
      <c r="B147" s="1">
        <v>803</v>
      </c>
      <c r="C147" s="1" t="s">
        <v>10</v>
      </c>
      <c r="D147" s="1" t="s">
        <v>31</v>
      </c>
      <c r="E147" s="1" t="s">
        <v>12</v>
      </c>
      <c r="F147" t="e">
        <f>TEXT(#REF!,"YYY")</f>
        <v>#REF!</v>
      </c>
      <c r="G147" t="e">
        <f>TEXT(#REF!,"MMM")</f>
        <v>#REF!</v>
      </c>
      <c r="H147" t="e">
        <f>TEXT(#REF!,"DDD")</f>
        <v>#REF!</v>
      </c>
      <c r="I147" t="e">
        <f>DATEDIF(#REF!,#REF!,"D")</f>
        <v>#REF!</v>
      </c>
      <c r="J147" s="7" t="e">
        <f>ROUND(Table2[[#This Row],[Quantity]]*Table2[[#This Row],[Unit Price]]*VLOOKUP(#REF!,Table_1[#All],2,FALSE),0)</f>
        <v>#REF!</v>
      </c>
      <c r="K147" s="7">
        <f>Table2[[#This Row],[Quantity]]*Table2[[#This Row],[Unit Price]]</f>
        <v>5621</v>
      </c>
      <c r="L147" s="7" t="e">
        <f>Table2[[#This Row],[Sales Revenue]]-Table2[[#This Row],[Total Cost After Product Percentage Calc]]</f>
        <v>#REF!</v>
      </c>
    </row>
    <row r="148" spans="1:12" ht="14.25" customHeight="1" x14ac:dyDescent="0.3">
      <c r="A148" s="1">
        <v>10</v>
      </c>
      <c r="B148" s="1">
        <v>735</v>
      </c>
      <c r="C148" s="1" t="s">
        <v>20</v>
      </c>
      <c r="D148" s="1" t="s">
        <v>11</v>
      </c>
      <c r="E148" s="1" t="s">
        <v>14</v>
      </c>
      <c r="F148" t="e">
        <f>TEXT(#REF!,"YYY")</f>
        <v>#REF!</v>
      </c>
      <c r="G148" t="e">
        <f>TEXT(#REF!,"MMM")</f>
        <v>#REF!</v>
      </c>
      <c r="H148" t="e">
        <f>TEXT(#REF!,"DDD")</f>
        <v>#REF!</v>
      </c>
      <c r="I148" t="e">
        <f>DATEDIF(#REF!,#REF!,"D")</f>
        <v>#REF!</v>
      </c>
      <c r="J148" s="7" t="e">
        <f>ROUND(Table2[[#This Row],[Quantity]]*Table2[[#This Row],[Unit Price]]*VLOOKUP(#REF!,Table_1[#All],2,FALSE),0)</f>
        <v>#REF!</v>
      </c>
      <c r="K148" s="7">
        <f>Table2[[#This Row],[Quantity]]*Table2[[#This Row],[Unit Price]]</f>
        <v>7350</v>
      </c>
      <c r="L148" s="7" t="e">
        <f>Table2[[#This Row],[Sales Revenue]]-Table2[[#This Row],[Total Cost After Product Percentage Calc]]</f>
        <v>#REF!</v>
      </c>
    </row>
    <row r="149" spans="1:12" ht="14.25" customHeight="1" x14ac:dyDescent="0.3">
      <c r="A149" s="1">
        <v>9</v>
      </c>
      <c r="B149" s="1">
        <v>105</v>
      </c>
      <c r="C149" s="1" t="s">
        <v>20</v>
      </c>
      <c r="D149" s="1" t="s">
        <v>24</v>
      </c>
      <c r="E149" s="1" t="s">
        <v>30</v>
      </c>
      <c r="F149" t="e">
        <f>TEXT(#REF!,"YYY")</f>
        <v>#REF!</v>
      </c>
      <c r="G149" t="e">
        <f>TEXT(#REF!,"MMM")</f>
        <v>#REF!</v>
      </c>
      <c r="H149" t="e">
        <f>TEXT(#REF!,"DDD")</f>
        <v>#REF!</v>
      </c>
      <c r="I149" t="e">
        <f>DATEDIF(#REF!,#REF!,"D")</f>
        <v>#REF!</v>
      </c>
      <c r="J149" s="7" t="e">
        <f>ROUND(Table2[[#This Row],[Quantity]]*Table2[[#This Row],[Unit Price]]*VLOOKUP(#REF!,Table_1[#All],2,FALSE),0)</f>
        <v>#REF!</v>
      </c>
      <c r="K149" s="7">
        <f>Table2[[#This Row],[Quantity]]*Table2[[#This Row],[Unit Price]]</f>
        <v>945</v>
      </c>
      <c r="L149" s="7" t="e">
        <f>Table2[[#This Row],[Sales Revenue]]-Table2[[#This Row],[Total Cost After Product Percentage Calc]]</f>
        <v>#REF!</v>
      </c>
    </row>
    <row r="150" spans="1:12" ht="14.25" customHeight="1" x14ac:dyDescent="0.3">
      <c r="A150" s="1">
        <v>3</v>
      </c>
      <c r="B150" s="1">
        <v>89</v>
      </c>
      <c r="C150" s="1" t="s">
        <v>20</v>
      </c>
      <c r="D150" s="1" t="s">
        <v>31</v>
      </c>
      <c r="E150" s="1" t="s">
        <v>30</v>
      </c>
      <c r="F150" t="e">
        <f>TEXT(#REF!,"YYY")</f>
        <v>#REF!</v>
      </c>
      <c r="G150" t="e">
        <f>TEXT(#REF!,"MMM")</f>
        <v>#REF!</v>
      </c>
      <c r="H150" t="e">
        <f>TEXT(#REF!,"DDD")</f>
        <v>#REF!</v>
      </c>
      <c r="I150" t="e">
        <f>DATEDIF(#REF!,#REF!,"D")</f>
        <v>#REF!</v>
      </c>
      <c r="J150" s="7" t="e">
        <f>ROUND(Table2[[#This Row],[Quantity]]*Table2[[#This Row],[Unit Price]]*VLOOKUP(#REF!,Table_1[#All],2,FALSE),0)</f>
        <v>#REF!</v>
      </c>
      <c r="K150" s="7">
        <f>Table2[[#This Row],[Quantity]]*Table2[[#This Row],[Unit Price]]</f>
        <v>267</v>
      </c>
      <c r="L150" s="7" t="e">
        <f>Table2[[#This Row],[Sales Revenue]]-Table2[[#This Row],[Total Cost After Product Percentage Calc]]</f>
        <v>#REF!</v>
      </c>
    </row>
    <row r="151" spans="1:12" ht="14.25" customHeight="1" x14ac:dyDescent="0.3">
      <c r="A151" s="1">
        <v>6</v>
      </c>
      <c r="B151" s="1">
        <v>907</v>
      </c>
      <c r="C151" s="1" t="s">
        <v>10</v>
      </c>
      <c r="D151" s="1" t="s">
        <v>16</v>
      </c>
      <c r="E151" s="1" t="s">
        <v>12</v>
      </c>
      <c r="F151" t="e">
        <f>TEXT(#REF!,"YYY")</f>
        <v>#REF!</v>
      </c>
      <c r="G151" t="e">
        <f>TEXT(#REF!,"MMM")</f>
        <v>#REF!</v>
      </c>
      <c r="H151" t="e">
        <f>TEXT(#REF!,"DDD")</f>
        <v>#REF!</v>
      </c>
      <c r="I151" t="e">
        <f>DATEDIF(#REF!,#REF!,"D")</f>
        <v>#REF!</v>
      </c>
      <c r="J151" s="7" t="e">
        <f>ROUND(Table2[[#This Row],[Quantity]]*Table2[[#This Row],[Unit Price]]*VLOOKUP(#REF!,Table_1[#All],2,FALSE),0)</f>
        <v>#REF!</v>
      </c>
      <c r="K151" s="7">
        <f>Table2[[#This Row],[Quantity]]*Table2[[#This Row],[Unit Price]]</f>
        <v>5442</v>
      </c>
      <c r="L151" s="7" t="e">
        <f>Table2[[#This Row],[Sales Revenue]]-Table2[[#This Row],[Total Cost After Product Percentage Calc]]</f>
        <v>#REF!</v>
      </c>
    </row>
    <row r="152" spans="1:12" ht="14.25" customHeight="1" x14ac:dyDescent="0.3">
      <c r="A152" s="1">
        <v>3</v>
      </c>
      <c r="B152" s="1">
        <v>195</v>
      </c>
      <c r="C152" s="1" t="s">
        <v>10</v>
      </c>
      <c r="D152" s="1" t="s">
        <v>16</v>
      </c>
      <c r="E152" s="1" t="s">
        <v>12</v>
      </c>
      <c r="F152" t="e">
        <f>TEXT(#REF!,"YYY")</f>
        <v>#REF!</v>
      </c>
      <c r="G152" t="e">
        <f>TEXT(#REF!,"MMM")</f>
        <v>#REF!</v>
      </c>
      <c r="H152" t="e">
        <f>TEXT(#REF!,"DDD")</f>
        <v>#REF!</v>
      </c>
      <c r="I152" t="e">
        <f>DATEDIF(#REF!,#REF!,"D")</f>
        <v>#REF!</v>
      </c>
      <c r="J152" s="7" t="e">
        <f>ROUND(Table2[[#This Row],[Quantity]]*Table2[[#This Row],[Unit Price]]*VLOOKUP(#REF!,Table_1[#All],2,FALSE),0)</f>
        <v>#REF!</v>
      </c>
      <c r="K152" s="7">
        <f>Table2[[#This Row],[Quantity]]*Table2[[#This Row],[Unit Price]]</f>
        <v>585</v>
      </c>
      <c r="L152" s="7" t="e">
        <f>Table2[[#This Row],[Sales Revenue]]-Table2[[#This Row],[Total Cost After Product Percentage Calc]]</f>
        <v>#REF!</v>
      </c>
    </row>
    <row r="153" spans="1:12" ht="14.25" customHeight="1" x14ac:dyDescent="0.3">
      <c r="A153" s="1">
        <v>3</v>
      </c>
      <c r="B153" s="1">
        <v>846</v>
      </c>
      <c r="C153" s="1" t="s">
        <v>10</v>
      </c>
      <c r="D153" s="1" t="s">
        <v>11</v>
      </c>
      <c r="E153" s="1" t="s">
        <v>30</v>
      </c>
      <c r="F153" t="e">
        <f>TEXT(#REF!,"YYY")</f>
        <v>#REF!</v>
      </c>
      <c r="G153" t="e">
        <f>TEXT(#REF!,"MMM")</f>
        <v>#REF!</v>
      </c>
      <c r="H153" t="e">
        <f>TEXT(#REF!,"DDD")</f>
        <v>#REF!</v>
      </c>
      <c r="I153" t="e">
        <f>DATEDIF(#REF!,#REF!,"D")</f>
        <v>#REF!</v>
      </c>
      <c r="J153" s="7" t="e">
        <f>ROUND(Table2[[#This Row],[Quantity]]*Table2[[#This Row],[Unit Price]]*VLOOKUP(#REF!,Table_1[#All],2,FALSE),0)</f>
        <v>#REF!</v>
      </c>
      <c r="K153" s="7">
        <f>Table2[[#This Row],[Quantity]]*Table2[[#This Row],[Unit Price]]</f>
        <v>2538</v>
      </c>
      <c r="L153" s="7" t="e">
        <f>Table2[[#This Row],[Sales Revenue]]-Table2[[#This Row],[Total Cost After Product Percentage Calc]]</f>
        <v>#REF!</v>
      </c>
    </row>
    <row r="154" spans="1:12" ht="14.25" customHeight="1" x14ac:dyDescent="0.3">
      <c r="A154" s="1">
        <v>8</v>
      </c>
      <c r="B154" s="1">
        <v>905</v>
      </c>
      <c r="C154" s="1" t="s">
        <v>10</v>
      </c>
      <c r="D154" s="1" t="s">
        <v>31</v>
      </c>
      <c r="E154" s="1" t="s">
        <v>30</v>
      </c>
      <c r="F154" t="e">
        <f>TEXT(#REF!,"YYY")</f>
        <v>#REF!</v>
      </c>
      <c r="G154" t="e">
        <f>TEXT(#REF!,"MMM")</f>
        <v>#REF!</v>
      </c>
      <c r="H154" t="e">
        <f>TEXT(#REF!,"DDD")</f>
        <v>#REF!</v>
      </c>
      <c r="I154" t="e">
        <f>DATEDIF(#REF!,#REF!,"D")</f>
        <v>#REF!</v>
      </c>
      <c r="J154" s="7" t="e">
        <f>ROUND(Table2[[#This Row],[Quantity]]*Table2[[#This Row],[Unit Price]]*VLOOKUP(#REF!,Table_1[#All],2,FALSE),0)</f>
        <v>#REF!</v>
      </c>
      <c r="K154" s="7">
        <f>Table2[[#This Row],[Quantity]]*Table2[[#This Row],[Unit Price]]</f>
        <v>7240</v>
      </c>
      <c r="L154" s="7" t="e">
        <f>Table2[[#This Row],[Sales Revenue]]-Table2[[#This Row],[Total Cost After Product Percentage Calc]]</f>
        <v>#REF!</v>
      </c>
    </row>
    <row r="155" spans="1:12" ht="14.25" customHeight="1" x14ac:dyDescent="0.3">
      <c r="A155" s="1">
        <v>1</v>
      </c>
      <c r="B155" s="1">
        <v>336</v>
      </c>
      <c r="C155" s="1" t="s">
        <v>10</v>
      </c>
      <c r="D155" s="1" t="s">
        <v>11</v>
      </c>
      <c r="E155" s="1" t="s">
        <v>14</v>
      </c>
      <c r="F155" t="e">
        <f>TEXT(#REF!,"YYY")</f>
        <v>#REF!</v>
      </c>
      <c r="G155" t="e">
        <f>TEXT(#REF!,"MMM")</f>
        <v>#REF!</v>
      </c>
      <c r="H155" t="e">
        <f>TEXT(#REF!,"DDD")</f>
        <v>#REF!</v>
      </c>
      <c r="I155" t="e">
        <f>DATEDIF(#REF!,#REF!,"D")</f>
        <v>#REF!</v>
      </c>
      <c r="J155" s="7" t="e">
        <f>ROUND(Table2[[#This Row],[Quantity]]*Table2[[#This Row],[Unit Price]]*VLOOKUP(#REF!,Table_1[#All],2,FALSE),0)</f>
        <v>#REF!</v>
      </c>
      <c r="K155" s="7">
        <f>Table2[[#This Row],[Quantity]]*Table2[[#This Row],[Unit Price]]</f>
        <v>336</v>
      </c>
      <c r="L155" s="7" t="e">
        <f>Table2[[#This Row],[Sales Revenue]]-Table2[[#This Row],[Total Cost After Product Percentage Calc]]</f>
        <v>#REF!</v>
      </c>
    </row>
    <row r="156" spans="1:12" ht="14.25" customHeight="1" x14ac:dyDescent="0.3">
      <c r="A156" s="1">
        <v>8</v>
      </c>
      <c r="B156" s="1">
        <v>722</v>
      </c>
      <c r="C156" s="1" t="s">
        <v>20</v>
      </c>
      <c r="D156" s="1" t="s">
        <v>16</v>
      </c>
      <c r="E156" s="1" t="s">
        <v>22</v>
      </c>
      <c r="F156" t="e">
        <f>TEXT(#REF!,"YYY")</f>
        <v>#REF!</v>
      </c>
      <c r="G156" t="e">
        <f>TEXT(#REF!,"MMM")</f>
        <v>#REF!</v>
      </c>
      <c r="H156" t="e">
        <f>TEXT(#REF!,"DDD")</f>
        <v>#REF!</v>
      </c>
      <c r="I156" t="e">
        <f>DATEDIF(#REF!,#REF!,"D")</f>
        <v>#REF!</v>
      </c>
      <c r="J156" s="7" t="e">
        <f>ROUND(Table2[[#This Row],[Quantity]]*Table2[[#This Row],[Unit Price]]*VLOOKUP(#REF!,Table_1[#All],2,FALSE),0)</f>
        <v>#REF!</v>
      </c>
      <c r="K156" s="7">
        <f>Table2[[#This Row],[Quantity]]*Table2[[#This Row],[Unit Price]]</f>
        <v>5776</v>
      </c>
      <c r="L156" s="7" t="e">
        <f>Table2[[#This Row],[Sales Revenue]]-Table2[[#This Row],[Total Cost After Product Percentage Calc]]</f>
        <v>#REF!</v>
      </c>
    </row>
    <row r="157" spans="1:12" ht="14.25" customHeight="1" x14ac:dyDescent="0.3">
      <c r="A157" s="1">
        <v>10</v>
      </c>
      <c r="B157" s="1">
        <v>558</v>
      </c>
      <c r="C157" s="1" t="s">
        <v>20</v>
      </c>
      <c r="D157" s="1" t="s">
        <v>11</v>
      </c>
      <c r="E157" s="1" t="s">
        <v>12</v>
      </c>
      <c r="F157" t="e">
        <f>TEXT(#REF!,"YYY")</f>
        <v>#REF!</v>
      </c>
      <c r="G157" t="e">
        <f>TEXT(#REF!,"MMM")</f>
        <v>#REF!</v>
      </c>
      <c r="H157" t="e">
        <f>TEXT(#REF!,"DDD")</f>
        <v>#REF!</v>
      </c>
      <c r="I157" t="e">
        <f>DATEDIF(#REF!,#REF!,"D")</f>
        <v>#REF!</v>
      </c>
      <c r="J157" s="7" t="e">
        <f>ROUND(Table2[[#This Row],[Quantity]]*Table2[[#This Row],[Unit Price]]*VLOOKUP(#REF!,Table_1[#All],2,FALSE),0)</f>
        <v>#REF!</v>
      </c>
      <c r="K157" s="7">
        <f>Table2[[#This Row],[Quantity]]*Table2[[#This Row],[Unit Price]]</f>
        <v>5580</v>
      </c>
      <c r="L157" s="7" t="e">
        <f>Table2[[#This Row],[Sales Revenue]]-Table2[[#This Row],[Total Cost After Product Percentage Calc]]</f>
        <v>#REF!</v>
      </c>
    </row>
    <row r="158" spans="1:12" ht="14.25" customHeight="1" x14ac:dyDescent="0.3">
      <c r="A158" s="1">
        <v>7</v>
      </c>
      <c r="B158" s="1">
        <v>11</v>
      </c>
      <c r="C158" s="1" t="s">
        <v>10</v>
      </c>
      <c r="D158" s="1" t="s">
        <v>24</v>
      </c>
      <c r="E158" s="1" t="s">
        <v>12</v>
      </c>
      <c r="F158" t="e">
        <f>TEXT(#REF!,"YYY")</f>
        <v>#REF!</v>
      </c>
      <c r="G158" t="e">
        <f>TEXT(#REF!,"MMM")</f>
        <v>#REF!</v>
      </c>
      <c r="H158" t="e">
        <f>TEXT(#REF!,"DDD")</f>
        <v>#REF!</v>
      </c>
      <c r="I158" t="e">
        <f>DATEDIF(#REF!,#REF!,"D")</f>
        <v>#REF!</v>
      </c>
      <c r="J158" s="7" t="e">
        <f>ROUND(Table2[[#This Row],[Quantity]]*Table2[[#This Row],[Unit Price]]*VLOOKUP(#REF!,Table_1[#All],2,FALSE),0)</f>
        <v>#REF!</v>
      </c>
      <c r="K158" s="7">
        <f>Table2[[#This Row],[Quantity]]*Table2[[#This Row],[Unit Price]]</f>
        <v>77</v>
      </c>
      <c r="L158" s="7" t="e">
        <f>Table2[[#This Row],[Sales Revenue]]-Table2[[#This Row],[Total Cost After Product Percentage Calc]]</f>
        <v>#REF!</v>
      </c>
    </row>
    <row r="159" spans="1:12" ht="14.25" customHeight="1" x14ac:dyDescent="0.3">
      <c r="A159" s="1">
        <v>2</v>
      </c>
      <c r="B159" s="1">
        <v>546</v>
      </c>
      <c r="C159" s="1" t="s">
        <v>20</v>
      </c>
      <c r="D159" s="1" t="s">
        <v>31</v>
      </c>
      <c r="E159" s="1" t="s">
        <v>22</v>
      </c>
      <c r="F159" t="e">
        <f>TEXT(#REF!,"YYY")</f>
        <v>#REF!</v>
      </c>
      <c r="G159" t="e">
        <f>TEXT(#REF!,"MMM")</f>
        <v>#REF!</v>
      </c>
      <c r="H159" t="e">
        <f>TEXT(#REF!,"DDD")</f>
        <v>#REF!</v>
      </c>
      <c r="I159" t="e">
        <f>DATEDIF(#REF!,#REF!,"D")</f>
        <v>#REF!</v>
      </c>
      <c r="J159" s="7" t="e">
        <f>ROUND(Table2[[#This Row],[Quantity]]*Table2[[#This Row],[Unit Price]]*VLOOKUP(#REF!,Table_1[#All],2,FALSE),0)</f>
        <v>#REF!</v>
      </c>
      <c r="K159" s="7">
        <f>Table2[[#This Row],[Quantity]]*Table2[[#This Row],[Unit Price]]</f>
        <v>1092</v>
      </c>
      <c r="L159" s="7" t="e">
        <f>Table2[[#This Row],[Sales Revenue]]-Table2[[#This Row],[Total Cost After Product Percentage Calc]]</f>
        <v>#REF!</v>
      </c>
    </row>
    <row r="160" spans="1:12" ht="14.25" customHeight="1" x14ac:dyDescent="0.3">
      <c r="A160" s="1">
        <v>9</v>
      </c>
      <c r="B160" s="1">
        <v>30</v>
      </c>
      <c r="C160" s="1" t="s">
        <v>10</v>
      </c>
      <c r="D160" s="1" t="s">
        <v>21</v>
      </c>
      <c r="E160" s="1" t="s">
        <v>12</v>
      </c>
      <c r="F160" t="e">
        <f>TEXT(#REF!,"YYY")</f>
        <v>#REF!</v>
      </c>
      <c r="G160" t="e">
        <f>TEXT(#REF!,"MMM")</f>
        <v>#REF!</v>
      </c>
      <c r="H160" t="e">
        <f>TEXT(#REF!,"DDD")</f>
        <v>#REF!</v>
      </c>
      <c r="I160" t="e">
        <f>DATEDIF(#REF!,#REF!,"D")</f>
        <v>#REF!</v>
      </c>
      <c r="J160" s="7" t="e">
        <f>ROUND(Table2[[#This Row],[Quantity]]*Table2[[#This Row],[Unit Price]]*VLOOKUP(#REF!,Table_1[#All],2,FALSE),0)</f>
        <v>#REF!</v>
      </c>
      <c r="K160" s="7">
        <f>Table2[[#This Row],[Quantity]]*Table2[[#This Row],[Unit Price]]</f>
        <v>270</v>
      </c>
      <c r="L160" s="7" t="e">
        <f>Table2[[#This Row],[Sales Revenue]]-Table2[[#This Row],[Total Cost After Product Percentage Calc]]</f>
        <v>#REF!</v>
      </c>
    </row>
    <row r="161" spans="1:12" ht="14.25" customHeight="1" x14ac:dyDescent="0.3">
      <c r="A161" s="1">
        <v>6</v>
      </c>
      <c r="B161" s="1">
        <v>146</v>
      </c>
      <c r="C161" s="1" t="s">
        <v>20</v>
      </c>
      <c r="D161" s="1" t="s">
        <v>11</v>
      </c>
      <c r="E161" s="1" t="s">
        <v>14</v>
      </c>
      <c r="F161" t="e">
        <f>TEXT(#REF!,"YYY")</f>
        <v>#REF!</v>
      </c>
      <c r="G161" t="e">
        <f>TEXT(#REF!,"MMM")</f>
        <v>#REF!</v>
      </c>
      <c r="H161" t="e">
        <f>TEXT(#REF!,"DDD")</f>
        <v>#REF!</v>
      </c>
      <c r="I161" t="e">
        <f>DATEDIF(#REF!,#REF!,"D")</f>
        <v>#REF!</v>
      </c>
      <c r="J161" s="7" t="e">
        <f>ROUND(Table2[[#This Row],[Quantity]]*Table2[[#This Row],[Unit Price]]*VLOOKUP(#REF!,Table_1[#All],2,FALSE),0)</f>
        <v>#REF!</v>
      </c>
      <c r="K161" s="7">
        <f>Table2[[#This Row],[Quantity]]*Table2[[#This Row],[Unit Price]]</f>
        <v>876</v>
      </c>
      <c r="L161" s="7" t="e">
        <f>Table2[[#This Row],[Sales Revenue]]-Table2[[#This Row],[Total Cost After Product Percentage Calc]]</f>
        <v>#REF!</v>
      </c>
    </row>
    <row r="162" spans="1:12" ht="14.25" customHeight="1" x14ac:dyDescent="0.3">
      <c r="A162" s="1">
        <v>8</v>
      </c>
      <c r="B162" s="1">
        <v>722</v>
      </c>
      <c r="C162" s="1" t="s">
        <v>10</v>
      </c>
      <c r="D162" s="1" t="s">
        <v>21</v>
      </c>
      <c r="E162" s="1" t="s">
        <v>30</v>
      </c>
      <c r="F162" t="e">
        <f>TEXT(#REF!,"YYY")</f>
        <v>#REF!</v>
      </c>
      <c r="G162" t="e">
        <f>TEXT(#REF!,"MMM")</f>
        <v>#REF!</v>
      </c>
      <c r="H162" t="e">
        <f>TEXT(#REF!,"DDD")</f>
        <v>#REF!</v>
      </c>
      <c r="I162" t="e">
        <f>DATEDIF(#REF!,#REF!,"D")</f>
        <v>#REF!</v>
      </c>
      <c r="J162" s="7" t="e">
        <f>ROUND(Table2[[#This Row],[Quantity]]*Table2[[#This Row],[Unit Price]]*VLOOKUP(#REF!,Table_1[#All],2,FALSE),0)</f>
        <v>#REF!</v>
      </c>
      <c r="K162" s="7">
        <f>Table2[[#This Row],[Quantity]]*Table2[[#This Row],[Unit Price]]</f>
        <v>5776</v>
      </c>
      <c r="L162" s="7" t="e">
        <f>Table2[[#This Row],[Sales Revenue]]-Table2[[#This Row],[Total Cost After Product Percentage Calc]]</f>
        <v>#REF!</v>
      </c>
    </row>
    <row r="163" spans="1:12" ht="14.25" customHeight="1" x14ac:dyDescent="0.3">
      <c r="A163" s="1">
        <v>5</v>
      </c>
      <c r="B163" s="1">
        <v>216</v>
      </c>
      <c r="C163" s="1" t="s">
        <v>10</v>
      </c>
      <c r="D163" s="1" t="s">
        <v>11</v>
      </c>
      <c r="E163" s="1" t="s">
        <v>30</v>
      </c>
      <c r="F163" t="e">
        <f>TEXT(#REF!,"YYY")</f>
        <v>#REF!</v>
      </c>
      <c r="G163" t="e">
        <f>TEXT(#REF!,"MMM")</f>
        <v>#REF!</v>
      </c>
      <c r="H163" t="e">
        <f>TEXT(#REF!,"DDD")</f>
        <v>#REF!</v>
      </c>
      <c r="I163" t="e">
        <f>DATEDIF(#REF!,#REF!,"D")</f>
        <v>#REF!</v>
      </c>
      <c r="J163" s="7" t="e">
        <f>ROUND(Table2[[#This Row],[Quantity]]*Table2[[#This Row],[Unit Price]]*VLOOKUP(#REF!,Table_1[#All],2,FALSE),0)</f>
        <v>#REF!</v>
      </c>
      <c r="K163" s="7">
        <f>Table2[[#This Row],[Quantity]]*Table2[[#This Row],[Unit Price]]</f>
        <v>1080</v>
      </c>
      <c r="L163" s="7" t="e">
        <f>Table2[[#This Row],[Sales Revenue]]-Table2[[#This Row],[Total Cost After Product Percentage Calc]]</f>
        <v>#REF!</v>
      </c>
    </row>
    <row r="164" spans="1:12" ht="14.25" customHeight="1" x14ac:dyDescent="0.3">
      <c r="A164" s="1">
        <v>6</v>
      </c>
      <c r="B164" s="1">
        <v>892</v>
      </c>
      <c r="C164" s="1" t="s">
        <v>20</v>
      </c>
      <c r="D164" s="1" t="s">
        <v>16</v>
      </c>
      <c r="E164" s="1" t="s">
        <v>14</v>
      </c>
      <c r="F164" t="e">
        <f>TEXT(#REF!,"YYY")</f>
        <v>#REF!</v>
      </c>
      <c r="G164" t="e">
        <f>TEXT(#REF!,"MMM")</f>
        <v>#REF!</v>
      </c>
      <c r="H164" t="e">
        <f>TEXT(#REF!,"DDD")</f>
        <v>#REF!</v>
      </c>
      <c r="I164" t="e">
        <f>DATEDIF(#REF!,#REF!,"D")</f>
        <v>#REF!</v>
      </c>
      <c r="J164" s="7" t="e">
        <f>ROUND(Table2[[#This Row],[Quantity]]*Table2[[#This Row],[Unit Price]]*VLOOKUP(#REF!,Table_1[#All],2,FALSE),0)</f>
        <v>#REF!</v>
      </c>
      <c r="K164" s="7">
        <f>Table2[[#This Row],[Quantity]]*Table2[[#This Row],[Unit Price]]</f>
        <v>5352</v>
      </c>
      <c r="L164" s="7" t="e">
        <f>Table2[[#This Row],[Sales Revenue]]-Table2[[#This Row],[Total Cost After Product Percentage Calc]]</f>
        <v>#REF!</v>
      </c>
    </row>
    <row r="165" spans="1:12" ht="14.25" customHeight="1" x14ac:dyDescent="0.3">
      <c r="A165" s="1">
        <v>7</v>
      </c>
      <c r="B165" s="1">
        <v>626</v>
      </c>
      <c r="C165" s="1" t="s">
        <v>20</v>
      </c>
      <c r="D165" s="1" t="s">
        <v>16</v>
      </c>
      <c r="E165" s="1" t="s">
        <v>22</v>
      </c>
      <c r="F165" t="e">
        <f>TEXT(#REF!,"YYY")</f>
        <v>#REF!</v>
      </c>
      <c r="G165" t="e">
        <f>TEXT(#REF!,"MMM")</f>
        <v>#REF!</v>
      </c>
      <c r="H165" t="e">
        <f>TEXT(#REF!,"DDD")</f>
        <v>#REF!</v>
      </c>
      <c r="I165" t="e">
        <f>DATEDIF(#REF!,#REF!,"D")</f>
        <v>#REF!</v>
      </c>
      <c r="J165" s="7" t="e">
        <f>ROUND(Table2[[#This Row],[Quantity]]*Table2[[#This Row],[Unit Price]]*VLOOKUP(#REF!,Table_1[#All],2,FALSE),0)</f>
        <v>#REF!</v>
      </c>
      <c r="K165" s="7">
        <f>Table2[[#This Row],[Quantity]]*Table2[[#This Row],[Unit Price]]</f>
        <v>4382</v>
      </c>
      <c r="L165" s="7" t="e">
        <f>Table2[[#This Row],[Sales Revenue]]-Table2[[#This Row],[Total Cost After Product Percentage Calc]]</f>
        <v>#REF!</v>
      </c>
    </row>
    <row r="166" spans="1:12" ht="14.25" customHeight="1" x14ac:dyDescent="0.3">
      <c r="A166" s="1">
        <v>7</v>
      </c>
      <c r="B166" s="1">
        <v>291</v>
      </c>
      <c r="C166" s="1" t="s">
        <v>10</v>
      </c>
      <c r="D166" s="1" t="s">
        <v>24</v>
      </c>
      <c r="E166" s="1" t="s">
        <v>14</v>
      </c>
      <c r="F166" t="e">
        <f>TEXT(#REF!,"YYY")</f>
        <v>#REF!</v>
      </c>
      <c r="G166" t="e">
        <f>TEXT(#REF!,"MMM")</f>
        <v>#REF!</v>
      </c>
      <c r="H166" t="e">
        <f>TEXT(#REF!,"DDD")</f>
        <v>#REF!</v>
      </c>
      <c r="I166" t="e">
        <f>DATEDIF(#REF!,#REF!,"D")</f>
        <v>#REF!</v>
      </c>
      <c r="J166" s="7" t="e">
        <f>ROUND(Table2[[#This Row],[Quantity]]*Table2[[#This Row],[Unit Price]]*VLOOKUP(#REF!,Table_1[#All],2,FALSE),0)</f>
        <v>#REF!</v>
      </c>
      <c r="K166" s="7">
        <f>Table2[[#This Row],[Quantity]]*Table2[[#This Row],[Unit Price]]</f>
        <v>2037</v>
      </c>
      <c r="L166" s="7" t="e">
        <f>Table2[[#This Row],[Sales Revenue]]-Table2[[#This Row],[Total Cost After Product Percentage Calc]]</f>
        <v>#REF!</v>
      </c>
    </row>
    <row r="167" spans="1:12" ht="14.25" customHeight="1" x14ac:dyDescent="0.3">
      <c r="A167" s="1">
        <v>3</v>
      </c>
      <c r="B167" s="1">
        <v>985</v>
      </c>
      <c r="C167" s="1" t="s">
        <v>20</v>
      </c>
      <c r="D167" s="1" t="s">
        <v>11</v>
      </c>
      <c r="E167" s="1" t="s">
        <v>22</v>
      </c>
      <c r="F167" t="e">
        <f>TEXT(#REF!,"YYY")</f>
        <v>#REF!</v>
      </c>
      <c r="G167" t="e">
        <f>TEXT(#REF!,"MMM")</f>
        <v>#REF!</v>
      </c>
      <c r="H167" t="e">
        <f>TEXT(#REF!,"DDD")</f>
        <v>#REF!</v>
      </c>
      <c r="I167" t="e">
        <f>DATEDIF(#REF!,#REF!,"D")</f>
        <v>#REF!</v>
      </c>
      <c r="J167" s="7" t="e">
        <f>ROUND(Table2[[#This Row],[Quantity]]*Table2[[#This Row],[Unit Price]]*VLOOKUP(#REF!,Table_1[#All],2,FALSE),0)</f>
        <v>#REF!</v>
      </c>
      <c r="K167" s="7">
        <f>Table2[[#This Row],[Quantity]]*Table2[[#This Row],[Unit Price]]</f>
        <v>2955</v>
      </c>
      <c r="L167" s="7" t="e">
        <f>Table2[[#This Row],[Sales Revenue]]-Table2[[#This Row],[Total Cost After Product Percentage Calc]]</f>
        <v>#REF!</v>
      </c>
    </row>
    <row r="168" spans="1:12" ht="14.25" customHeight="1" x14ac:dyDescent="0.3">
      <c r="A168" s="1">
        <v>2</v>
      </c>
      <c r="B168" s="1">
        <v>278</v>
      </c>
      <c r="C168" s="1" t="s">
        <v>20</v>
      </c>
      <c r="D168" s="1" t="s">
        <v>16</v>
      </c>
      <c r="E168" s="1" t="s">
        <v>12</v>
      </c>
      <c r="F168" t="e">
        <f>TEXT(#REF!,"YYY")</f>
        <v>#REF!</v>
      </c>
      <c r="G168" t="e">
        <f>TEXT(#REF!,"MMM")</f>
        <v>#REF!</v>
      </c>
      <c r="H168" t="e">
        <f>TEXT(#REF!,"DDD")</f>
        <v>#REF!</v>
      </c>
      <c r="I168" t="e">
        <f>DATEDIF(#REF!,#REF!,"D")</f>
        <v>#REF!</v>
      </c>
      <c r="J168" s="7" t="e">
        <f>ROUND(Table2[[#This Row],[Quantity]]*Table2[[#This Row],[Unit Price]]*VLOOKUP(#REF!,Table_1[#All],2,FALSE),0)</f>
        <v>#REF!</v>
      </c>
      <c r="K168" s="7">
        <f>Table2[[#This Row],[Quantity]]*Table2[[#This Row],[Unit Price]]</f>
        <v>556</v>
      </c>
      <c r="L168" s="7" t="e">
        <f>Table2[[#This Row],[Sales Revenue]]-Table2[[#This Row],[Total Cost After Product Percentage Calc]]</f>
        <v>#REF!</v>
      </c>
    </row>
    <row r="169" spans="1:12" ht="14.25" customHeight="1" x14ac:dyDescent="0.3">
      <c r="A169" s="1">
        <v>5</v>
      </c>
      <c r="B169" s="1">
        <v>720</v>
      </c>
      <c r="C169" s="1" t="s">
        <v>10</v>
      </c>
      <c r="D169" s="1" t="s">
        <v>21</v>
      </c>
      <c r="E169" s="1" t="s">
        <v>14</v>
      </c>
      <c r="F169" t="e">
        <f>TEXT(#REF!,"YYY")</f>
        <v>#REF!</v>
      </c>
      <c r="G169" t="e">
        <f>TEXT(#REF!,"MMM")</f>
        <v>#REF!</v>
      </c>
      <c r="H169" t="e">
        <f>TEXT(#REF!,"DDD")</f>
        <v>#REF!</v>
      </c>
      <c r="I169" t="e">
        <f>DATEDIF(#REF!,#REF!,"D")</f>
        <v>#REF!</v>
      </c>
      <c r="J169" s="7" t="e">
        <f>ROUND(Table2[[#This Row],[Quantity]]*Table2[[#This Row],[Unit Price]]*VLOOKUP(#REF!,Table_1[#All],2,FALSE),0)</f>
        <v>#REF!</v>
      </c>
      <c r="K169" s="7">
        <f>Table2[[#This Row],[Quantity]]*Table2[[#This Row],[Unit Price]]</f>
        <v>3600</v>
      </c>
      <c r="L169" s="7" t="e">
        <f>Table2[[#This Row],[Sales Revenue]]-Table2[[#This Row],[Total Cost After Product Percentage Calc]]</f>
        <v>#REF!</v>
      </c>
    </row>
    <row r="170" spans="1:12" ht="14.25" customHeight="1" x14ac:dyDescent="0.3">
      <c r="A170" s="1">
        <v>3</v>
      </c>
      <c r="B170" s="1">
        <v>930</v>
      </c>
      <c r="C170" s="1" t="s">
        <v>10</v>
      </c>
      <c r="D170" s="1" t="s">
        <v>24</v>
      </c>
      <c r="E170" s="1" t="s">
        <v>22</v>
      </c>
      <c r="F170" t="e">
        <f>TEXT(#REF!,"YYY")</f>
        <v>#REF!</v>
      </c>
      <c r="G170" t="e">
        <f>TEXT(#REF!,"MMM")</f>
        <v>#REF!</v>
      </c>
      <c r="H170" t="e">
        <f>TEXT(#REF!,"DDD")</f>
        <v>#REF!</v>
      </c>
      <c r="I170" t="e">
        <f>DATEDIF(#REF!,#REF!,"D")</f>
        <v>#REF!</v>
      </c>
      <c r="J170" s="7" t="e">
        <f>ROUND(Table2[[#This Row],[Quantity]]*Table2[[#This Row],[Unit Price]]*VLOOKUP(#REF!,Table_1[#All],2,FALSE),0)</f>
        <v>#REF!</v>
      </c>
      <c r="K170" s="7">
        <f>Table2[[#This Row],[Quantity]]*Table2[[#This Row],[Unit Price]]</f>
        <v>2790</v>
      </c>
      <c r="L170" s="7" t="e">
        <f>Table2[[#This Row],[Sales Revenue]]-Table2[[#This Row],[Total Cost After Product Percentage Calc]]</f>
        <v>#REF!</v>
      </c>
    </row>
    <row r="171" spans="1:12" ht="14.25" customHeight="1" x14ac:dyDescent="0.3">
      <c r="A171" s="1">
        <v>9</v>
      </c>
      <c r="B171" s="1">
        <v>239</v>
      </c>
      <c r="C171" s="1" t="s">
        <v>10</v>
      </c>
      <c r="D171" s="1" t="s">
        <v>11</v>
      </c>
      <c r="E171" s="1" t="s">
        <v>22</v>
      </c>
      <c r="F171" t="e">
        <f>TEXT(#REF!,"YYY")</f>
        <v>#REF!</v>
      </c>
      <c r="G171" t="e">
        <f>TEXT(#REF!,"MMM")</f>
        <v>#REF!</v>
      </c>
      <c r="H171" t="e">
        <f>TEXT(#REF!,"DDD")</f>
        <v>#REF!</v>
      </c>
      <c r="I171" t="e">
        <f>DATEDIF(#REF!,#REF!,"D")</f>
        <v>#REF!</v>
      </c>
      <c r="J171" s="7" t="e">
        <f>ROUND(Table2[[#This Row],[Quantity]]*Table2[[#This Row],[Unit Price]]*VLOOKUP(#REF!,Table_1[#All],2,FALSE),0)</f>
        <v>#REF!</v>
      </c>
      <c r="K171" s="7">
        <f>Table2[[#This Row],[Quantity]]*Table2[[#This Row],[Unit Price]]</f>
        <v>2151</v>
      </c>
      <c r="L171" s="7" t="e">
        <f>Table2[[#This Row],[Sales Revenue]]-Table2[[#This Row],[Total Cost After Product Percentage Calc]]</f>
        <v>#REF!</v>
      </c>
    </row>
    <row r="172" spans="1:12" ht="14.25" customHeight="1" x14ac:dyDescent="0.3">
      <c r="A172" s="1">
        <v>2</v>
      </c>
      <c r="B172" s="1">
        <v>77</v>
      </c>
      <c r="C172" s="1" t="s">
        <v>20</v>
      </c>
      <c r="D172" s="1" t="s">
        <v>31</v>
      </c>
      <c r="E172" s="1" t="s">
        <v>14</v>
      </c>
      <c r="F172" t="e">
        <f>TEXT(#REF!,"YYY")</f>
        <v>#REF!</v>
      </c>
      <c r="G172" t="e">
        <f>TEXT(#REF!,"MMM")</f>
        <v>#REF!</v>
      </c>
      <c r="H172" t="e">
        <f>TEXT(#REF!,"DDD")</f>
        <v>#REF!</v>
      </c>
      <c r="I172" t="e">
        <f>DATEDIF(#REF!,#REF!,"D")</f>
        <v>#REF!</v>
      </c>
      <c r="J172" s="7" t="e">
        <f>ROUND(Table2[[#This Row],[Quantity]]*Table2[[#This Row],[Unit Price]]*VLOOKUP(#REF!,Table_1[#All],2,FALSE),0)</f>
        <v>#REF!</v>
      </c>
      <c r="K172" s="7">
        <f>Table2[[#This Row],[Quantity]]*Table2[[#This Row],[Unit Price]]</f>
        <v>154</v>
      </c>
      <c r="L172" s="7" t="e">
        <f>Table2[[#This Row],[Sales Revenue]]-Table2[[#This Row],[Total Cost After Product Percentage Calc]]</f>
        <v>#REF!</v>
      </c>
    </row>
    <row r="173" spans="1:12" ht="14.25" customHeight="1" x14ac:dyDescent="0.3">
      <c r="A173" s="1">
        <v>7</v>
      </c>
      <c r="B173" s="1">
        <v>853</v>
      </c>
      <c r="C173" s="1" t="s">
        <v>10</v>
      </c>
      <c r="D173" s="1" t="s">
        <v>24</v>
      </c>
      <c r="E173" s="1" t="s">
        <v>12</v>
      </c>
      <c r="F173" t="e">
        <f>TEXT(#REF!,"YYY")</f>
        <v>#REF!</v>
      </c>
      <c r="G173" t="e">
        <f>TEXT(#REF!,"MMM")</f>
        <v>#REF!</v>
      </c>
      <c r="H173" t="e">
        <f>TEXT(#REF!,"DDD")</f>
        <v>#REF!</v>
      </c>
      <c r="I173" t="e">
        <f>DATEDIF(#REF!,#REF!,"D")</f>
        <v>#REF!</v>
      </c>
      <c r="J173" s="7" t="e">
        <f>ROUND(Table2[[#This Row],[Quantity]]*Table2[[#This Row],[Unit Price]]*VLOOKUP(#REF!,Table_1[#All],2,FALSE),0)</f>
        <v>#REF!</v>
      </c>
      <c r="K173" s="7">
        <f>Table2[[#This Row],[Quantity]]*Table2[[#This Row],[Unit Price]]</f>
        <v>5971</v>
      </c>
      <c r="L173" s="7" t="e">
        <f>Table2[[#This Row],[Sales Revenue]]-Table2[[#This Row],[Total Cost After Product Percentage Calc]]</f>
        <v>#REF!</v>
      </c>
    </row>
    <row r="174" spans="1:12" ht="14.25" customHeight="1" x14ac:dyDescent="0.3">
      <c r="A174" s="1">
        <v>8</v>
      </c>
      <c r="B174" s="1">
        <v>706</v>
      </c>
      <c r="C174" s="1" t="s">
        <v>10</v>
      </c>
      <c r="D174" s="1" t="s">
        <v>24</v>
      </c>
      <c r="E174" s="1" t="s">
        <v>12</v>
      </c>
      <c r="F174" t="e">
        <f>TEXT(#REF!,"YYY")</f>
        <v>#REF!</v>
      </c>
      <c r="G174" t="e">
        <f>TEXT(#REF!,"MMM")</f>
        <v>#REF!</v>
      </c>
      <c r="H174" t="e">
        <f>TEXT(#REF!,"DDD")</f>
        <v>#REF!</v>
      </c>
      <c r="I174" t="e">
        <f>DATEDIF(#REF!,#REF!,"D")</f>
        <v>#REF!</v>
      </c>
      <c r="J174" s="7" t="e">
        <f>ROUND(Table2[[#This Row],[Quantity]]*Table2[[#This Row],[Unit Price]]*VLOOKUP(#REF!,Table_1[#All],2,FALSE),0)</f>
        <v>#REF!</v>
      </c>
      <c r="K174" s="7">
        <f>Table2[[#This Row],[Quantity]]*Table2[[#This Row],[Unit Price]]</f>
        <v>5648</v>
      </c>
      <c r="L174" s="7" t="e">
        <f>Table2[[#This Row],[Sales Revenue]]-Table2[[#This Row],[Total Cost After Product Percentage Calc]]</f>
        <v>#REF!</v>
      </c>
    </row>
    <row r="175" spans="1:12" ht="14.25" customHeight="1" x14ac:dyDescent="0.3">
      <c r="A175" s="1">
        <v>3</v>
      </c>
      <c r="B175" s="1">
        <v>453</v>
      </c>
      <c r="C175" s="1" t="s">
        <v>10</v>
      </c>
      <c r="D175" s="1" t="s">
        <v>24</v>
      </c>
      <c r="E175" s="1" t="s">
        <v>22</v>
      </c>
      <c r="F175" t="e">
        <f>TEXT(#REF!,"YYY")</f>
        <v>#REF!</v>
      </c>
      <c r="G175" t="e">
        <f>TEXT(#REF!,"MMM")</f>
        <v>#REF!</v>
      </c>
      <c r="H175" t="e">
        <f>TEXT(#REF!,"DDD")</f>
        <v>#REF!</v>
      </c>
      <c r="I175" t="e">
        <f>DATEDIF(#REF!,#REF!,"D")</f>
        <v>#REF!</v>
      </c>
      <c r="J175" s="7" t="e">
        <f>ROUND(Table2[[#This Row],[Quantity]]*Table2[[#This Row],[Unit Price]]*VLOOKUP(#REF!,Table_1[#All],2,FALSE),0)</f>
        <v>#REF!</v>
      </c>
      <c r="K175" s="7">
        <f>Table2[[#This Row],[Quantity]]*Table2[[#This Row],[Unit Price]]</f>
        <v>1359</v>
      </c>
      <c r="L175" s="7" t="e">
        <f>Table2[[#This Row],[Sales Revenue]]-Table2[[#This Row],[Total Cost After Product Percentage Calc]]</f>
        <v>#REF!</v>
      </c>
    </row>
    <row r="176" spans="1:12" ht="14.25" customHeight="1" x14ac:dyDescent="0.3">
      <c r="A176" s="1">
        <v>9</v>
      </c>
      <c r="B176" s="1">
        <v>105</v>
      </c>
      <c r="C176" s="1" t="s">
        <v>20</v>
      </c>
      <c r="D176" s="1" t="s">
        <v>24</v>
      </c>
      <c r="E176" s="1" t="s">
        <v>22</v>
      </c>
      <c r="F176" t="e">
        <f>TEXT(#REF!,"YYY")</f>
        <v>#REF!</v>
      </c>
      <c r="G176" t="e">
        <f>TEXT(#REF!,"MMM")</f>
        <v>#REF!</v>
      </c>
      <c r="H176" t="e">
        <f>TEXT(#REF!,"DDD")</f>
        <v>#REF!</v>
      </c>
      <c r="I176" t="e">
        <f>DATEDIF(#REF!,#REF!,"D")</f>
        <v>#REF!</v>
      </c>
      <c r="J176" s="7" t="e">
        <f>ROUND(Table2[[#This Row],[Quantity]]*Table2[[#This Row],[Unit Price]]*VLOOKUP(#REF!,Table_1[#All],2,FALSE),0)</f>
        <v>#REF!</v>
      </c>
      <c r="K176" s="7">
        <f>Table2[[#This Row],[Quantity]]*Table2[[#This Row],[Unit Price]]</f>
        <v>945</v>
      </c>
      <c r="L176" s="7" t="e">
        <f>Table2[[#This Row],[Sales Revenue]]-Table2[[#This Row],[Total Cost After Product Percentage Calc]]</f>
        <v>#REF!</v>
      </c>
    </row>
    <row r="177" spans="1:12" ht="14.25" customHeight="1" x14ac:dyDescent="0.3">
      <c r="A177" s="1">
        <v>10</v>
      </c>
      <c r="B177" s="1">
        <v>747</v>
      </c>
      <c r="C177" s="1" t="s">
        <v>20</v>
      </c>
      <c r="D177" s="1" t="s">
        <v>24</v>
      </c>
      <c r="E177" s="1" t="s">
        <v>22</v>
      </c>
      <c r="F177" t="e">
        <f>TEXT(#REF!,"YYY")</f>
        <v>#REF!</v>
      </c>
      <c r="G177" t="e">
        <f>TEXT(#REF!,"MMM")</f>
        <v>#REF!</v>
      </c>
      <c r="H177" t="e">
        <f>TEXT(#REF!,"DDD")</f>
        <v>#REF!</v>
      </c>
      <c r="I177" t="e">
        <f>DATEDIF(#REF!,#REF!,"D")</f>
        <v>#REF!</v>
      </c>
      <c r="J177" s="7" t="e">
        <f>ROUND(Table2[[#This Row],[Quantity]]*Table2[[#This Row],[Unit Price]]*VLOOKUP(#REF!,Table_1[#All],2,FALSE),0)</f>
        <v>#REF!</v>
      </c>
      <c r="K177" s="7">
        <f>Table2[[#This Row],[Quantity]]*Table2[[#This Row],[Unit Price]]</f>
        <v>7470</v>
      </c>
      <c r="L177" s="7" t="e">
        <f>Table2[[#This Row],[Sales Revenue]]-Table2[[#This Row],[Total Cost After Product Percentage Calc]]</f>
        <v>#REF!</v>
      </c>
    </row>
    <row r="178" spans="1:12" ht="14.25" customHeight="1" x14ac:dyDescent="0.3">
      <c r="A178" s="1">
        <v>10</v>
      </c>
      <c r="B178" s="1">
        <v>664</v>
      </c>
      <c r="C178" s="1" t="s">
        <v>20</v>
      </c>
      <c r="D178" s="1" t="s">
        <v>11</v>
      </c>
      <c r="E178" s="1" t="s">
        <v>30</v>
      </c>
      <c r="F178" t="e">
        <f>TEXT(#REF!,"YYY")</f>
        <v>#REF!</v>
      </c>
      <c r="G178" t="e">
        <f>TEXT(#REF!,"MMM")</f>
        <v>#REF!</v>
      </c>
      <c r="H178" t="e">
        <f>TEXT(#REF!,"DDD")</f>
        <v>#REF!</v>
      </c>
      <c r="I178" t="e">
        <f>DATEDIF(#REF!,#REF!,"D")</f>
        <v>#REF!</v>
      </c>
      <c r="J178" s="7" t="e">
        <f>ROUND(Table2[[#This Row],[Quantity]]*Table2[[#This Row],[Unit Price]]*VLOOKUP(#REF!,Table_1[#All],2,FALSE),0)</f>
        <v>#REF!</v>
      </c>
      <c r="K178" s="7">
        <f>Table2[[#This Row],[Quantity]]*Table2[[#This Row],[Unit Price]]</f>
        <v>6640</v>
      </c>
      <c r="L178" s="7" t="e">
        <f>Table2[[#This Row],[Sales Revenue]]-Table2[[#This Row],[Total Cost After Product Percentage Calc]]</f>
        <v>#REF!</v>
      </c>
    </row>
    <row r="179" spans="1:12" ht="14.25" customHeight="1" x14ac:dyDescent="0.3">
      <c r="A179" s="1">
        <v>10</v>
      </c>
      <c r="B179" s="1">
        <v>157</v>
      </c>
      <c r="C179" s="1" t="s">
        <v>20</v>
      </c>
      <c r="D179" s="1" t="s">
        <v>31</v>
      </c>
      <c r="E179" s="1" t="s">
        <v>30</v>
      </c>
      <c r="F179" t="e">
        <f>TEXT(#REF!,"YYY")</f>
        <v>#REF!</v>
      </c>
      <c r="G179" t="e">
        <f>TEXT(#REF!,"MMM")</f>
        <v>#REF!</v>
      </c>
      <c r="H179" t="e">
        <f>TEXT(#REF!,"DDD")</f>
        <v>#REF!</v>
      </c>
      <c r="I179" t="e">
        <f>DATEDIF(#REF!,#REF!,"D")</f>
        <v>#REF!</v>
      </c>
      <c r="J179" s="7" t="e">
        <f>ROUND(Table2[[#This Row],[Quantity]]*Table2[[#This Row],[Unit Price]]*VLOOKUP(#REF!,Table_1[#All],2,FALSE),0)</f>
        <v>#REF!</v>
      </c>
      <c r="K179" s="7">
        <f>Table2[[#This Row],[Quantity]]*Table2[[#This Row],[Unit Price]]</f>
        <v>1570</v>
      </c>
      <c r="L179" s="7" t="e">
        <f>Table2[[#This Row],[Sales Revenue]]-Table2[[#This Row],[Total Cost After Product Percentage Calc]]</f>
        <v>#REF!</v>
      </c>
    </row>
    <row r="180" spans="1:12" ht="14.25" customHeight="1" x14ac:dyDescent="0.3">
      <c r="A180" s="1">
        <v>5</v>
      </c>
      <c r="B180" s="1">
        <v>470</v>
      </c>
      <c r="C180" s="1" t="s">
        <v>10</v>
      </c>
      <c r="D180" s="1" t="s">
        <v>11</v>
      </c>
      <c r="E180" s="1" t="s">
        <v>30</v>
      </c>
      <c r="F180" t="e">
        <f>TEXT(#REF!,"YYY")</f>
        <v>#REF!</v>
      </c>
      <c r="G180" t="e">
        <f>TEXT(#REF!,"MMM")</f>
        <v>#REF!</v>
      </c>
      <c r="H180" t="e">
        <f>TEXT(#REF!,"DDD")</f>
        <v>#REF!</v>
      </c>
      <c r="I180" t="e">
        <f>DATEDIF(#REF!,#REF!,"D")</f>
        <v>#REF!</v>
      </c>
      <c r="J180" s="7" t="e">
        <f>ROUND(Table2[[#This Row],[Quantity]]*Table2[[#This Row],[Unit Price]]*VLOOKUP(#REF!,Table_1[#All],2,FALSE),0)</f>
        <v>#REF!</v>
      </c>
      <c r="K180" s="7">
        <f>Table2[[#This Row],[Quantity]]*Table2[[#This Row],[Unit Price]]</f>
        <v>2350</v>
      </c>
      <c r="L180" s="7" t="e">
        <f>Table2[[#This Row],[Sales Revenue]]-Table2[[#This Row],[Total Cost After Product Percentage Calc]]</f>
        <v>#REF!</v>
      </c>
    </row>
    <row r="181" spans="1:12" ht="14.25" customHeight="1" x14ac:dyDescent="0.3">
      <c r="A181" s="1">
        <v>7</v>
      </c>
      <c r="B181" s="1">
        <v>384</v>
      </c>
      <c r="C181" s="1" t="s">
        <v>10</v>
      </c>
      <c r="D181" s="1" t="s">
        <v>11</v>
      </c>
      <c r="E181" s="1" t="s">
        <v>12</v>
      </c>
      <c r="F181" t="e">
        <f>TEXT(#REF!,"YYY")</f>
        <v>#REF!</v>
      </c>
      <c r="G181" t="e">
        <f>TEXT(#REF!,"MMM")</f>
        <v>#REF!</v>
      </c>
      <c r="H181" t="e">
        <f>TEXT(#REF!,"DDD")</f>
        <v>#REF!</v>
      </c>
      <c r="I181" t="e">
        <f>DATEDIF(#REF!,#REF!,"D")</f>
        <v>#REF!</v>
      </c>
      <c r="J181" s="7" t="e">
        <f>ROUND(Table2[[#This Row],[Quantity]]*Table2[[#This Row],[Unit Price]]*VLOOKUP(#REF!,Table_1[#All],2,FALSE),0)</f>
        <v>#REF!</v>
      </c>
      <c r="K181" s="7">
        <f>Table2[[#This Row],[Quantity]]*Table2[[#This Row],[Unit Price]]</f>
        <v>2688</v>
      </c>
      <c r="L181" s="7" t="e">
        <f>Table2[[#This Row],[Sales Revenue]]-Table2[[#This Row],[Total Cost After Product Percentage Calc]]</f>
        <v>#REF!</v>
      </c>
    </row>
    <row r="182" spans="1:12" ht="14.25" customHeight="1" x14ac:dyDescent="0.3">
      <c r="A182" s="1">
        <v>5</v>
      </c>
      <c r="B182" s="1">
        <v>855</v>
      </c>
      <c r="C182" s="1" t="s">
        <v>10</v>
      </c>
      <c r="D182" s="1" t="s">
        <v>24</v>
      </c>
      <c r="E182" s="1" t="s">
        <v>22</v>
      </c>
      <c r="F182" t="e">
        <f>TEXT(#REF!,"YYY")</f>
        <v>#REF!</v>
      </c>
      <c r="G182" t="e">
        <f>TEXT(#REF!,"MMM")</f>
        <v>#REF!</v>
      </c>
      <c r="H182" t="e">
        <f>TEXT(#REF!,"DDD")</f>
        <v>#REF!</v>
      </c>
      <c r="I182" t="e">
        <f>DATEDIF(#REF!,#REF!,"D")</f>
        <v>#REF!</v>
      </c>
      <c r="J182" s="7" t="e">
        <f>ROUND(Table2[[#This Row],[Quantity]]*Table2[[#This Row],[Unit Price]]*VLOOKUP(#REF!,Table_1[#All],2,FALSE),0)</f>
        <v>#REF!</v>
      </c>
      <c r="K182" s="7">
        <f>Table2[[#This Row],[Quantity]]*Table2[[#This Row],[Unit Price]]</f>
        <v>4275</v>
      </c>
      <c r="L182" s="7" t="e">
        <f>Table2[[#This Row],[Sales Revenue]]-Table2[[#This Row],[Total Cost After Product Percentage Calc]]</f>
        <v>#REF!</v>
      </c>
    </row>
    <row r="183" spans="1:12" ht="14.25" customHeight="1" x14ac:dyDescent="0.3">
      <c r="A183" s="1">
        <v>9</v>
      </c>
      <c r="B183" s="1">
        <v>421</v>
      </c>
      <c r="C183" s="1" t="s">
        <v>10</v>
      </c>
      <c r="D183" s="1" t="s">
        <v>24</v>
      </c>
      <c r="E183" s="1" t="s">
        <v>12</v>
      </c>
      <c r="F183" t="e">
        <f>TEXT(#REF!,"YYY")</f>
        <v>#REF!</v>
      </c>
      <c r="G183" t="e">
        <f>TEXT(#REF!,"MMM")</f>
        <v>#REF!</v>
      </c>
      <c r="H183" t="e">
        <f>TEXT(#REF!,"DDD")</f>
        <v>#REF!</v>
      </c>
      <c r="I183" t="e">
        <f>DATEDIF(#REF!,#REF!,"D")</f>
        <v>#REF!</v>
      </c>
      <c r="J183" s="7" t="e">
        <f>ROUND(Table2[[#This Row],[Quantity]]*Table2[[#This Row],[Unit Price]]*VLOOKUP(#REF!,Table_1[#All],2,FALSE),0)</f>
        <v>#REF!</v>
      </c>
      <c r="K183" s="7">
        <f>Table2[[#This Row],[Quantity]]*Table2[[#This Row],[Unit Price]]</f>
        <v>3789</v>
      </c>
      <c r="L183" s="7" t="e">
        <f>Table2[[#This Row],[Sales Revenue]]-Table2[[#This Row],[Total Cost After Product Percentage Calc]]</f>
        <v>#REF!</v>
      </c>
    </row>
    <row r="184" spans="1:12" ht="14.25" customHeight="1" x14ac:dyDescent="0.3">
      <c r="A184" s="1">
        <v>3</v>
      </c>
      <c r="B184" s="1">
        <v>345</v>
      </c>
      <c r="C184" s="1" t="s">
        <v>10</v>
      </c>
      <c r="D184" s="1" t="s">
        <v>24</v>
      </c>
      <c r="E184" s="1" t="s">
        <v>30</v>
      </c>
      <c r="F184" t="e">
        <f>TEXT(#REF!,"YYY")</f>
        <v>#REF!</v>
      </c>
      <c r="G184" t="e">
        <f>TEXT(#REF!,"MMM")</f>
        <v>#REF!</v>
      </c>
      <c r="H184" t="e">
        <f>TEXT(#REF!,"DDD")</f>
        <v>#REF!</v>
      </c>
      <c r="I184" t="e">
        <f>DATEDIF(#REF!,#REF!,"D")</f>
        <v>#REF!</v>
      </c>
      <c r="J184" s="7" t="e">
        <f>ROUND(Table2[[#This Row],[Quantity]]*Table2[[#This Row],[Unit Price]]*VLOOKUP(#REF!,Table_1[#All],2,FALSE),0)</f>
        <v>#REF!</v>
      </c>
      <c r="K184" s="7">
        <f>Table2[[#This Row],[Quantity]]*Table2[[#This Row],[Unit Price]]</f>
        <v>1035</v>
      </c>
      <c r="L184" s="7" t="e">
        <f>Table2[[#This Row],[Sales Revenue]]-Table2[[#This Row],[Total Cost After Product Percentage Calc]]</f>
        <v>#REF!</v>
      </c>
    </row>
    <row r="185" spans="1:12" ht="14.25" customHeight="1" x14ac:dyDescent="0.3">
      <c r="A185" s="1">
        <v>10</v>
      </c>
      <c r="B185" s="1">
        <v>354</v>
      </c>
      <c r="C185" s="1" t="s">
        <v>20</v>
      </c>
      <c r="D185" s="1" t="s">
        <v>24</v>
      </c>
      <c r="E185" s="1" t="s">
        <v>30</v>
      </c>
      <c r="F185" t="e">
        <f>TEXT(#REF!,"YYY")</f>
        <v>#REF!</v>
      </c>
      <c r="G185" t="e">
        <f>TEXT(#REF!,"MMM")</f>
        <v>#REF!</v>
      </c>
      <c r="H185" t="e">
        <f>TEXT(#REF!,"DDD")</f>
        <v>#REF!</v>
      </c>
      <c r="I185" t="e">
        <f>DATEDIF(#REF!,#REF!,"D")</f>
        <v>#REF!</v>
      </c>
      <c r="J185" s="7" t="e">
        <f>ROUND(Table2[[#This Row],[Quantity]]*Table2[[#This Row],[Unit Price]]*VLOOKUP(#REF!,Table_1[#All],2,FALSE),0)</f>
        <v>#REF!</v>
      </c>
      <c r="K185" s="7">
        <f>Table2[[#This Row],[Quantity]]*Table2[[#This Row],[Unit Price]]</f>
        <v>3540</v>
      </c>
      <c r="L185" s="7" t="e">
        <f>Table2[[#This Row],[Sales Revenue]]-Table2[[#This Row],[Total Cost After Product Percentage Calc]]</f>
        <v>#REF!</v>
      </c>
    </row>
    <row r="186" spans="1:12" ht="14.25" customHeight="1" x14ac:dyDescent="0.3">
      <c r="A186" s="1">
        <v>5</v>
      </c>
      <c r="B186" s="1">
        <v>825</v>
      </c>
      <c r="C186" s="1" t="s">
        <v>20</v>
      </c>
      <c r="D186" s="1" t="s">
        <v>24</v>
      </c>
      <c r="E186" s="1" t="s">
        <v>12</v>
      </c>
      <c r="F186" t="e">
        <f>TEXT(#REF!,"YYY")</f>
        <v>#REF!</v>
      </c>
      <c r="G186" t="e">
        <f>TEXT(#REF!,"MMM")</f>
        <v>#REF!</v>
      </c>
      <c r="H186" t="e">
        <f>TEXT(#REF!,"DDD")</f>
        <v>#REF!</v>
      </c>
      <c r="I186" t="e">
        <f>DATEDIF(#REF!,#REF!,"D")</f>
        <v>#REF!</v>
      </c>
      <c r="J186" s="7" t="e">
        <f>ROUND(Table2[[#This Row],[Quantity]]*Table2[[#This Row],[Unit Price]]*VLOOKUP(#REF!,Table_1[#All],2,FALSE),0)</f>
        <v>#REF!</v>
      </c>
      <c r="K186" s="7">
        <f>Table2[[#This Row],[Quantity]]*Table2[[#This Row],[Unit Price]]</f>
        <v>4125</v>
      </c>
      <c r="L186" s="7" t="e">
        <f>Table2[[#This Row],[Sales Revenue]]-Table2[[#This Row],[Total Cost After Product Percentage Calc]]</f>
        <v>#REF!</v>
      </c>
    </row>
    <row r="187" spans="1:12" ht="14.25" customHeight="1" x14ac:dyDescent="0.3">
      <c r="A187" s="1">
        <v>10</v>
      </c>
      <c r="B187" s="1">
        <v>601</v>
      </c>
      <c r="C187" s="1" t="s">
        <v>20</v>
      </c>
      <c r="D187" s="1" t="s">
        <v>11</v>
      </c>
      <c r="E187" s="1" t="s">
        <v>12</v>
      </c>
      <c r="F187" t="e">
        <f>TEXT(#REF!,"YYY")</f>
        <v>#REF!</v>
      </c>
      <c r="G187" t="e">
        <f>TEXT(#REF!,"MMM")</f>
        <v>#REF!</v>
      </c>
      <c r="H187" t="e">
        <f>TEXT(#REF!,"DDD")</f>
        <v>#REF!</v>
      </c>
      <c r="I187" t="e">
        <f>DATEDIF(#REF!,#REF!,"D")</f>
        <v>#REF!</v>
      </c>
      <c r="J187" s="7" t="e">
        <f>ROUND(Table2[[#This Row],[Quantity]]*Table2[[#This Row],[Unit Price]]*VLOOKUP(#REF!,Table_1[#All],2,FALSE),0)</f>
        <v>#REF!</v>
      </c>
      <c r="K187" s="7">
        <f>Table2[[#This Row],[Quantity]]*Table2[[#This Row],[Unit Price]]</f>
        <v>6010</v>
      </c>
      <c r="L187" s="7" t="e">
        <f>Table2[[#This Row],[Sales Revenue]]-Table2[[#This Row],[Total Cost After Product Percentage Calc]]</f>
        <v>#REF!</v>
      </c>
    </row>
    <row r="188" spans="1:12" ht="14.25" customHeight="1" x14ac:dyDescent="0.3">
      <c r="A188" s="1">
        <v>10</v>
      </c>
      <c r="B188" s="1">
        <v>803</v>
      </c>
      <c r="C188" s="1" t="s">
        <v>10</v>
      </c>
      <c r="D188" s="1" t="s">
        <v>16</v>
      </c>
      <c r="E188" s="1" t="s">
        <v>30</v>
      </c>
      <c r="F188" t="e">
        <f>TEXT(#REF!,"YYY")</f>
        <v>#REF!</v>
      </c>
      <c r="G188" t="e">
        <f>TEXT(#REF!,"MMM")</f>
        <v>#REF!</v>
      </c>
      <c r="H188" t="e">
        <f>TEXT(#REF!,"DDD")</f>
        <v>#REF!</v>
      </c>
      <c r="I188" t="e">
        <f>DATEDIF(#REF!,#REF!,"D")</f>
        <v>#REF!</v>
      </c>
      <c r="J188" s="7" t="e">
        <f>ROUND(Table2[[#This Row],[Quantity]]*Table2[[#This Row],[Unit Price]]*VLOOKUP(#REF!,Table_1[#All],2,FALSE),0)</f>
        <v>#REF!</v>
      </c>
      <c r="K188" s="7">
        <f>Table2[[#This Row],[Quantity]]*Table2[[#This Row],[Unit Price]]</f>
        <v>8030</v>
      </c>
      <c r="L188" s="7" t="e">
        <f>Table2[[#This Row],[Sales Revenue]]-Table2[[#This Row],[Total Cost After Product Percentage Calc]]</f>
        <v>#REF!</v>
      </c>
    </row>
    <row r="189" spans="1:12" ht="14.25" customHeight="1" x14ac:dyDescent="0.3">
      <c r="A189" s="1">
        <v>4</v>
      </c>
      <c r="B189" s="1">
        <v>584</v>
      </c>
      <c r="C189" s="1" t="s">
        <v>20</v>
      </c>
      <c r="D189" s="1" t="s">
        <v>31</v>
      </c>
      <c r="E189" s="1" t="s">
        <v>12</v>
      </c>
      <c r="F189" t="e">
        <f>TEXT(#REF!,"YYY")</f>
        <v>#REF!</v>
      </c>
      <c r="G189" t="e">
        <f>TEXT(#REF!,"MMM")</f>
        <v>#REF!</v>
      </c>
      <c r="H189" t="e">
        <f>TEXT(#REF!,"DDD")</f>
        <v>#REF!</v>
      </c>
      <c r="I189" t="e">
        <f>DATEDIF(#REF!,#REF!,"D")</f>
        <v>#REF!</v>
      </c>
      <c r="J189" s="7" t="e">
        <f>ROUND(Table2[[#This Row],[Quantity]]*Table2[[#This Row],[Unit Price]]*VLOOKUP(#REF!,Table_1[#All],2,FALSE),0)</f>
        <v>#REF!</v>
      </c>
      <c r="K189" s="7">
        <f>Table2[[#This Row],[Quantity]]*Table2[[#This Row],[Unit Price]]</f>
        <v>2336</v>
      </c>
      <c r="L189" s="7" t="e">
        <f>Table2[[#This Row],[Sales Revenue]]-Table2[[#This Row],[Total Cost After Product Percentage Calc]]</f>
        <v>#REF!</v>
      </c>
    </row>
    <row r="190" spans="1:12" ht="14.25" customHeight="1" x14ac:dyDescent="0.3">
      <c r="A190" s="1">
        <v>8</v>
      </c>
      <c r="B190" s="1">
        <v>944</v>
      </c>
      <c r="C190" s="1" t="s">
        <v>20</v>
      </c>
      <c r="D190" s="1" t="s">
        <v>24</v>
      </c>
      <c r="E190" s="1" t="s">
        <v>14</v>
      </c>
      <c r="F190" t="e">
        <f>TEXT(#REF!,"YYY")</f>
        <v>#REF!</v>
      </c>
      <c r="G190" t="e">
        <f>TEXT(#REF!,"MMM")</f>
        <v>#REF!</v>
      </c>
      <c r="H190" t="e">
        <f>TEXT(#REF!,"DDD")</f>
        <v>#REF!</v>
      </c>
      <c r="I190" t="e">
        <f>DATEDIF(#REF!,#REF!,"D")</f>
        <v>#REF!</v>
      </c>
      <c r="J190" s="7" t="e">
        <f>ROUND(Table2[[#This Row],[Quantity]]*Table2[[#This Row],[Unit Price]]*VLOOKUP(#REF!,Table_1[#All],2,FALSE),0)</f>
        <v>#REF!</v>
      </c>
      <c r="K190" s="7">
        <f>Table2[[#This Row],[Quantity]]*Table2[[#This Row],[Unit Price]]</f>
        <v>7552</v>
      </c>
      <c r="L190" s="7" t="e">
        <f>Table2[[#This Row],[Sales Revenue]]-Table2[[#This Row],[Total Cost After Product Percentage Calc]]</f>
        <v>#REF!</v>
      </c>
    </row>
    <row r="191" spans="1:12" ht="14.25" customHeight="1" x14ac:dyDescent="0.3">
      <c r="A191" s="1">
        <v>8</v>
      </c>
      <c r="B191" s="1">
        <v>206</v>
      </c>
      <c r="C191" s="1" t="s">
        <v>20</v>
      </c>
      <c r="D191" s="1" t="s">
        <v>11</v>
      </c>
      <c r="E191" s="1" t="s">
        <v>22</v>
      </c>
      <c r="F191" t="e">
        <f>TEXT(#REF!,"YYY")</f>
        <v>#REF!</v>
      </c>
      <c r="G191" t="e">
        <f>TEXT(#REF!,"MMM")</f>
        <v>#REF!</v>
      </c>
      <c r="H191" t="e">
        <f>TEXT(#REF!,"DDD")</f>
        <v>#REF!</v>
      </c>
      <c r="I191" t="e">
        <f>DATEDIF(#REF!,#REF!,"D")</f>
        <v>#REF!</v>
      </c>
      <c r="J191" s="7" t="e">
        <f>ROUND(Table2[[#This Row],[Quantity]]*Table2[[#This Row],[Unit Price]]*VLOOKUP(#REF!,Table_1[#All],2,FALSE),0)</f>
        <v>#REF!</v>
      </c>
      <c r="K191" s="7">
        <f>Table2[[#This Row],[Quantity]]*Table2[[#This Row],[Unit Price]]</f>
        <v>1648</v>
      </c>
      <c r="L191" s="7" t="e">
        <f>Table2[[#This Row],[Sales Revenue]]-Table2[[#This Row],[Total Cost After Product Percentage Calc]]</f>
        <v>#REF!</v>
      </c>
    </row>
    <row r="192" spans="1:12" ht="14.25" customHeight="1" x14ac:dyDescent="0.3">
      <c r="A192" s="1">
        <v>5</v>
      </c>
      <c r="B192" s="1">
        <v>304</v>
      </c>
      <c r="C192" s="1" t="s">
        <v>20</v>
      </c>
      <c r="D192" s="1" t="s">
        <v>11</v>
      </c>
      <c r="E192" s="1" t="s">
        <v>30</v>
      </c>
      <c r="F192" t="e">
        <f>TEXT(#REF!,"YYY")</f>
        <v>#REF!</v>
      </c>
      <c r="G192" t="e">
        <f>TEXT(#REF!,"MMM")</f>
        <v>#REF!</v>
      </c>
      <c r="H192" t="e">
        <f>TEXT(#REF!,"DDD")</f>
        <v>#REF!</v>
      </c>
      <c r="I192" t="e">
        <f>DATEDIF(#REF!,#REF!,"D")</f>
        <v>#REF!</v>
      </c>
      <c r="J192" s="7" t="e">
        <f>ROUND(Table2[[#This Row],[Quantity]]*Table2[[#This Row],[Unit Price]]*VLOOKUP(#REF!,Table_1[#All],2,FALSE),0)</f>
        <v>#REF!</v>
      </c>
      <c r="K192" s="7">
        <f>Table2[[#This Row],[Quantity]]*Table2[[#This Row],[Unit Price]]</f>
        <v>1520</v>
      </c>
      <c r="L192" s="7" t="e">
        <f>Table2[[#This Row],[Sales Revenue]]-Table2[[#This Row],[Total Cost After Product Percentage Calc]]</f>
        <v>#REF!</v>
      </c>
    </row>
    <row r="193" spans="1:12" ht="14.25" customHeight="1" x14ac:dyDescent="0.3">
      <c r="A193" s="1">
        <v>2</v>
      </c>
      <c r="B193" s="1">
        <v>364</v>
      </c>
      <c r="C193" s="1" t="s">
        <v>20</v>
      </c>
      <c r="D193" s="1" t="s">
        <v>21</v>
      </c>
      <c r="E193" s="1" t="s">
        <v>22</v>
      </c>
      <c r="F193" t="e">
        <f>TEXT(#REF!,"YYY")</f>
        <v>#REF!</v>
      </c>
      <c r="G193" t="e">
        <f>TEXT(#REF!,"MMM")</f>
        <v>#REF!</v>
      </c>
      <c r="H193" t="e">
        <f>TEXT(#REF!,"DDD")</f>
        <v>#REF!</v>
      </c>
      <c r="I193" t="e">
        <f>DATEDIF(#REF!,#REF!,"D")</f>
        <v>#REF!</v>
      </c>
      <c r="J193" s="7" t="e">
        <f>ROUND(Table2[[#This Row],[Quantity]]*Table2[[#This Row],[Unit Price]]*VLOOKUP(#REF!,Table_1[#All],2,FALSE),0)</f>
        <v>#REF!</v>
      </c>
      <c r="K193" s="7">
        <f>Table2[[#This Row],[Quantity]]*Table2[[#This Row],[Unit Price]]</f>
        <v>728</v>
      </c>
      <c r="L193" s="7" t="e">
        <f>Table2[[#This Row],[Sales Revenue]]-Table2[[#This Row],[Total Cost After Product Percentage Calc]]</f>
        <v>#REF!</v>
      </c>
    </row>
    <row r="194" spans="1:12" ht="14.25" customHeight="1" x14ac:dyDescent="0.3">
      <c r="A194" s="1">
        <v>9</v>
      </c>
      <c r="B194" s="1">
        <v>287</v>
      </c>
      <c r="C194" s="1" t="s">
        <v>10</v>
      </c>
      <c r="D194" s="1" t="s">
        <v>24</v>
      </c>
      <c r="E194" s="1" t="s">
        <v>14</v>
      </c>
      <c r="F194" t="e">
        <f>TEXT(#REF!,"YYY")</f>
        <v>#REF!</v>
      </c>
      <c r="G194" t="e">
        <f>TEXT(#REF!,"MMM")</f>
        <v>#REF!</v>
      </c>
      <c r="H194" t="e">
        <f>TEXT(#REF!,"DDD")</f>
        <v>#REF!</v>
      </c>
      <c r="I194" t="e">
        <f>DATEDIF(#REF!,#REF!,"D")</f>
        <v>#REF!</v>
      </c>
      <c r="J194" s="7" t="e">
        <f>ROUND(Table2[[#This Row],[Quantity]]*Table2[[#This Row],[Unit Price]]*VLOOKUP(#REF!,Table_1[#All],2,FALSE),0)</f>
        <v>#REF!</v>
      </c>
      <c r="K194" s="7">
        <f>Table2[[#This Row],[Quantity]]*Table2[[#This Row],[Unit Price]]</f>
        <v>2583</v>
      </c>
      <c r="L194" s="7" t="e">
        <f>Table2[[#This Row],[Sales Revenue]]-Table2[[#This Row],[Total Cost After Product Percentage Calc]]</f>
        <v>#REF!</v>
      </c>
    </row>
    <row r="195" spans="1:12" ht="14.25" customHeight="1" x14ac:dyDescent="0.3">
      <c r="A195" s="1">
        <v>4</v>
      </c>
      <c r="B195" s="1">
        <v>258</v>
      </c>
      <c r="C195" s="1" t="s">
        <v>10</v>
      </c>
      <c r="D195" s="1" t="s">
        <v>11</v>
      </c>
      <c r="E195" s="1" t="s">
        <v>14</v>
      </c>
      <c r="F195" t="e">
        <f>TEXT(#REF!,"YYY")</f>
        <v>#REF!</v>
      </c>
      <c r="G195" t="e">
        <f>TEXT(#REF!,"MMM")</f>
        <v>#REF!</v>
      </c>
      <c r="H195" t="e">
        <f>TEXT(#REF!,"DDD")</f>
        <v>#REF!</v>
      </c>
      <c r="I195" t="e">
        <f>DATEDIF(#REF!,#REF!,"D")</f>
        <v>#REF!</v>
      </c>
      <c r="J195" s="7" t="e">
        <f>ROUND(Table2[[#This Row],[Quantity]]*Table2[[#This Row],[Unit Price]]*VLOOKUP(#REF!,Table_1[#All],2,FALSE),0)</f>
        <v>#REF!</v>
      </c>
      <c r="K195" s="7">
        <f>Table2[[#This Row],[Quantity]]*Table2[[#This Row],[Unit Price]]</f>
        <v>1032</v>
      </c>
      <c r="L195" s="7" t="e">
        <f>Table2[[#This Row],[Sales Revenue]]-Table2[[#This Row],[Total Cost After Product Percentage Calc]]</f>
        <v>#REF!</v>
      </c>
    </row>
    <row r="196" spans="1:12" ht="14.25" customHeight="1" x14ac:dyDescent="0.3">
      <c r="A196" s="1">
        <v>7</v>
      </c>
      <c r="B196" s="1">
        <v>348</v>
      </c>
      <c r="C196" s="1" t="s">
        <v>10</v>
      </c>
      <c r="D196" s="1" t="s">
        <v>24</v>
      </c>
      <c r="E196" s="1" t="s">
        <v>14</v>
      </c>
      <c r="F196" t="e">
        <f>TEXT(#REF!,"YYY")</f>
        <v>#REF!</v>
      </c>
      <c r="G196" t="e">
        <f>TEXT(#REF!,"MMM")</f>
        <v>#REF!</v>
      </c>
      <c r="H196" t="e">
        <f>TEXT(#REF!,"DDD")</f>
        <v>#REF!</v>
      </c>
      <c r="I196" t="e">
        <f>DATEDIF(#REF!,#REF!,"D")</f>
        <v>#REF!</v>
      </c>
      <c r="J196" s="7" t="e">
        <f>ROUND(Table2[[#This Row],[Quantity]]*Table2[[#This Row],[Unit Price]]*VLOOKUP(#REF!,Table_1[#All],2,FALSE),0)</f>
        <v>#REF!</v>
      </c>
      <c r="K196" s="7">
        <f>Table2[[#This Row],[Quantity]]*Table2[[#This Row],[Unit Price]]</f>
        <v>2436</v>
      </c>
      <c r="L196" s="7" t="e">
        <f>Table2[[#This Row],[Sales Revenue]]-Table2[[#This Row],[Total Cost After Product Percentage Calc]]</f>
        <v>#REF!</v>
      </c>
    </row>
    <row r="197" spans="1:12" ht="14.25" customHeight="1" x14ac:dyDescent="0.3">
      <c r="A197" s="1">
        <v>5</v>
      </c>
      <c r="B197" s="1">
        <v>671</v>
      </c>
      <c r="C197" s="1" t="s">
        <v>20</v>
      </c>
      <c r="D197" s="1" t="s">
        <v>11</v>
      </c>
      <c r="E197" s="1" t="s">
        <v>12</v>
      </c>
      <c r="F197" t="e">
        <f>TEXT(#REF!,"YYY")</f>
        <v>#REF!</v>
      </c>
      <c r="G197" t="e">
        <f>TEXT(#REF!,"MMM")</f>
        <v>#REF!</v>
      </c>
      <c r="H197" t="e">
        <f>TEXT(#REF!,"DDD")</f>
        <v>#REF!</v>
      </c>
      <c r="I197" t="e">
        <f>DATEDIF(#REF!,#REF!,"D")</f>
        <v>#REF!</v>
      </c>
      <c r="J197" s="7" t="e">
        <f>ROUND(Table2[[#This Row],[Quantity]]*Table2[[#This Row],[Unit Price]]*VLOOKUP(#REF!,Table_1[#All],2,FALSE),0)</f>
        <v>#REF!</v>
      </c>
      <c r="K197" s="7">
        <f>Table2[[#This Row],[Quantity]]*Table2[[#This Row],[Unit Price]]</f>
        <v>3355</v>
      </c>
      <c r="L197" s="7" t="e">
        <f>Table2[[#This Row],[Sales Revenue]]-Table2[[#This Row],[Total Cost After Product Percentage Calc]]</f>
        <v>#REF!</v>
      </c>
    </row>
    <row r="198" spans="1:12" ht="14.25" customHeight="1" x14ac:dyDescent="0.3">
      <c r="A198" s="1">
        <v>1</v>
      </c>
      <c r="B198" s="1">
        <v>945</v>
      </c>
      <c r="C198" s="1" t="s">
        <v>10</v>
      </c>
      <c r="D198" s="1" t="s">
        <v>11</v>
      </c>
      <c r="E198" s="1" t="s">
        <v>30</v>
      </c>
      <c r="F198" t="e">
        <f>TEXT(#REF!,"YYY")</f>
        <v>#REF!</v>
      </c>
      <c r="G198" t="e">
        <f>TEXT(#REF!,"MMM")</f>
        <v>#REF!</v>
      </c>
      <c r="H198" t="e">
        <f>TEXT(#REF!,"DDD")</f>
        <v>#REF!</v>
      </c>
      <c r="I198" t="e">
        <f>DATEDIF(#REF!,#REF!,"D")</f>
        <v>#REF!</v>
      </c>
      <c r="J198" s="7" t="e">
        <f>ROUND(Table2[[#This Row],[Quantity]]*Table2[[#This Row],[Unit Price]]*VLOOKUP(#REF!,Table_1[#All],2,FALSE),0)</f>
        <v>#REF!</v>
      </c>
      <c r="K198" s="7">
        <f>Table2[[#This Row],[Quantity]]*Table2[[#This Row],[Unit Price]]</f>
        <v>945</v>
      </c>
      <c r="L198" s="7" t="e">
        <f>Table2[[#This Row],[Sales Revenue]]-Table2[[#This Row],[Total Cost After Product Percentage Calc]]</f>
        <v>#REF!</v>
      </c>
    </row>
    <row r="199" spans="1:12" ht="14.25" customHeight="1" x14ac:dyDescent="0.3">
      <c r="A199" s="1">
        <v>3</v>
      </c>
      <c r="B199" s="1">
        <v>969</v>
      </c>
      <c r="C199" s="1" t="s">
        <v>10</v>
      </c>
      <c r="D199" s="1" t="s">
        <v>24</v>
      </c>
      <c r="E199" s="1" t="s">
        <v>22</v>
      </c>
      <c r="F199" t="e">
        <f>TEXT(#REF!,"YYY")</f>
        <v>#REF!</v>
      </c>
      <c r="G199" t="e">
        <f>TEXT(#REF!,"MMM")</f>
        <v>#REF!</v>
      </c>
      <c r="H199" t="e">
        <f>TEXT(#REF!,"DDD")</f>
        <v>#REF!</v>
      </c>
      <c r="I199" t="e">
        <f>DATEDIF(#REF!,#REF!,"D")</f>
        <v>#REF!</v>
      </c>
      <c r="J199" s="7" t="e">
        <f>ROUND(Table2[[#This Row],[Quantity]]*Table2[[#This Row],[Unit Price]]*VLOOKUP(#REF!,Table_1[#All],2,FALSE),0)</f>
        <v>#REF!</v>
      </c>
      <c r="K199" s="7">
        <f>Table2[[#This Row],[Quantity]]*Table2[[#This Row],[Unit Price]]</f>
        <v>2907</v>
      </c>
      <c r="L199" s="7" t="e">
        <f>Table2[[#This Row],[Sales Revenue]]-Table2[[#This Row],[Total Cost After Product Percentage Calc]]</f>
        <v>#REF!</v>
      </c>
    </row>
    <row r="200" spans="1:12" ht="14.25" customHeight="1" x14ac:dyDescent="0.3">
      <c r="A200" s="1">
        <v>3</v>
      </c>
      <c r="B200" s="1">
        <v>758</v>
      </c>
      <c r="C200" s="1" t="s">
        <v>20</v>
      </c>
      <c r="D200" s="1" t="s">
        <v>21</v>
      </c>
      <c r="E200" s="1" t="s">
        <v>22</v>
      </c>
      <c r="F200" t="e">
        <f>TEXT(#REF!,"YYY")</f>
        <v>#REF!</v>
      </c>
      <c r="G200" t="e">
        <f>TEXT(#REF!,"MMM")</f>
        <v>#REF!</v>
      </c>
      <c r="H200" t="e">
        <f>TEXT(#REF!,"DDD")</f>
        <v>#REF!</v>
      </c>
      <c r="I200" t="e">
        <f>DATEDIF(#REF!,#REF!,"D")</f>
        <v>#REF!</v>
      </c>
      <c r="J200" s="7" t="e">
        <f>ROUND(Table2[[#This Row],[Quantity]]*Table2[[#This Row],[Unit Price]]*VLOOKUP(#REF!,Table_1[#All],2,FALSE),0)</f>
        <v>#REF!</v>
      </c>
      <c r="K200" s="7">
        <f>Table2[[#This Row],[Quantity]]*Table2[[#This Row],[Unit Price]]</f>
        <v>2274</v>
      </c>
      <c r="L200" s="7" t="e">
        <f>Table2[[#This Row],[Sales Revenue]]-Table2[[#This Row],[Total Cost After Product Percentage Calc]]</f>
        <v>#REF!</v>
      </c>
    </row>
    <row r="201" spans="1:12" ht="14.25" customHeight="1" x14ac:dyDescent="0.3">
      <c r="A201" s="1">
        <v>5</v>
      </c>
      <c r="B201" s="1">
        <v>591</v>
      </c>
      <c r="C201" s="1" t="s">
        <v>10</v>
      </c>
      <c r="D201" s="1" t="s">
        <v>24</v>
      </c>
      <c r="E201" s="1" t="s">
        <v>12</v>
      </c>
      <c r="F201" t="e">
        <f>TEXT(#REF!,"YYY")</f>
        <v>#REF!</v>
      </c>
      <c r="G201" t="e">
        <f>TEXT(#REF!,"MMM")</f>
        <v>#REF!</v>
      </c>
      <c r="H201" t="e">
        <f>TEXT(#REF!,"DDD")</f>
        <v>#REF!</v>
      </c>
      <c r="I201" t="e">
        <f>DATEDIF(#REF!,#REF!,"D")</f>
        <v>#REF!</v>
      </c>
      <c r="J201" s="7" t="e">
        <f>ROUND(Table2[[#This Row],[Quantity]]*Table2[[#This Row],[Unit Price]]*VLOOKUP(#REF!,Table_1[#All],2,FALSE),0)</f>
        <v>#REF!</v>
      </c>
      <c r="K201" s="7">
        <f>Table2[[#This Row],[Quantity]]*Table2[[#This Row],[Unit Price]]</f>
        <v>2955</v>
      </c>
      <c r="L201" s="7" t="e">
        <f>Table2[[#This Row],[Sales Revenue]]-Table2[[#This Row],[Total Cost After Product Percentage Calc]]</f>
        <v>#REF!</v>
      </c>
    </row>
    <row r="202" spans="1:12" ht="14.25" customHeight="1" x14ac:dyDescent="0.3">
      <c r="A202" s="1">
        <v>9</v>
      </c>
      <c r="B202" s="1">
        <v>345</v>
      </c>
      <c r="C202" s="1" t="s">
        <v>20</v>
      </c>
      <c r="D202" s="1" t="s">
        <v>11</v>
      </c>
      <c r="E202" s="1" t="s">
        <v>30</v>
      </c>
      <c r="F202" t="e">
        <f>TEXT(#REF!,"YYY")</f>
        <v>#REF!</v>
      </c>
      <c r="G202" t="e">
        <f>TEXT(#REF!,"MMM")</f>
        <v>#REF!</v>
      </c>
      <c r="H202" t="e">
        <f>TEXT(#REF!,"DDD")</f>
        <v>#REF!</v>
      </c>
      <c r="I202" t="e">
        <f>DATEDIF(#REF!,#REF!,"D")</f>
        <v>#REF!</v>
      </c>
      <c r="J202" s="7" t="e">
        <f>ROUND(Table2[[#This Row],[Quantity]]*Table2[[#This Row],[Unit Price]]*VLOOKUP(#REF!,Table_1[#All],2,FALSE),0)</f>
        <v>#REF!</v>
      </c>
      <c r="K202" s="7">
        <f>Table2[[#This Row],[Quantity]]*Table2[[#This Row],[Unit Price]]</f>
        <v>3105</v>
      </c>
      <c r="L202" s="7" t="e">
        <f>Table2[[#This Row],[Sales Revenue]]-Table2[[#This Row],[Total Cost After Product Percentage Calc]]</f>
        <v>#REF!</v>
      </c>
    </row>
    <row r="203" spans="1:12" ht="14.25" customHeight="1" x14ac:dyDescent="0.3">
      <c r="A203" s="1">
        <v>5</v>
      </c>
      <c r="B203" s="1">
        <v>986</v>
      </c>
      <c r="C203" s="1" t="s">
        <v>20</v>
      </c>
      <c r="D203" s="1" t="s">
        <v>31</v>
      </c>
      <c r="E203" s="1" t="s">
        <v>12</v>
      </c>
      <c r="F203" t="e">
        <f>TEXT(#REF!,"YYY")</f>
        <v>#REF!</v>
      </c>
      <c r="G203" t="e">
        <f>TEXT(#REF!,"MMM")</f>
        <v>#REF!</v>
      </c>
      <c r="H203" t="e">
        <f>TEXT(#REF!,"DDD")</f>
        <v>#REF!</v>
      </c>
      <c r="I203" t="e">
        <f>DATEDIF(#REF!,#REF!,"D")</f>
        <v>#REF!</v>
      </c>
      <c r="J203" s="7" t="e">
        <f>ROUND(Table2[[#This Row],[Quantity]]*Table2[[#This Row],[Unit Price]]*VLOOKUP(#REF!,Table_1[#All],2,FALSE),0)</f>
        <v>#REF!</v>
      </c>
      <c r="K203" s="7">
        <f>Table2[[#This Row],[Quantity]]*Table2[[#This Row],[Unit Price]]</f>
        <v>4930</v>
      </c>
      <c r="L203" s="7" t="e">
        <f>Table2[[#This Row],[Sales Revenue]]-Table2[[#This Row],[Total Cost After Product Percentage Calc]]</f>
        <v>#REF!</v>
      </c>
    </row>
    <row r="204" spans="1:12" ht="14.25" customHeight="1" x14ac:dyDescent="0.3">
      <c r="A204" s="1">
        <v>6</v>
      </c>
      <c r="B204" s="1">
        <v>719</v>
      </c>
      <c r="C204" s="1" t="s">
        <v>20</v>
      </c>
      <c r="D204" s="1" t="s">
        <v>11</v>
      </c>
      <c r="E204" s="1" t="s">
        <v>30</v>
      </c>
      <c r="F204" t="e">
        <f>TEXT(#REF!,"YYY")</f>
        <v>#REF!</v>
      </c>
      <c r="G204" t="e">
        <f>TEXT(#REF!,"MMM")</f>
        <v>#REF!</v>
      </c>
      <c r="H204" t="e">
        <f>TEXT(#REF!,"DDD")</f>
        <v>#REF!</v>
      </c>
      <c r="I204" t="e">
        <f>DATEDIF(#REF!,#REF!,"D")</f>
        <v>#REF!</v>
      </c>
      <c r="J204" s="7" t="e">
        <f>ROUND(Table2[[#This Row],[Quantity]]*Table2[[#This Row],[Unit Price]]*VLOOKUP(#REF!,Table_1[#All],2,FALSE),0)</f>
        <v>#REF!</v>
      </c>
      <c r="K204" s="7">
        <f>Table2[[#This Row],[Quantity]]*Table2[[#This Row],[Unit Price]]</f>
        <v>4314</v>
      </c>
      <c r="L204" s="7" t="e">
        <f>Table2[[#This Row],[Sales Revenue]]-Table2[[#This Row],[Total Cost After Product Percentage Calc]]</f>
        <v>#REF!</v>
      </c>
    </row>
    <row r="205" spans="1:12" ht="14.25" customHeight="1" x14ac:dyDescent="0.3">
      <c r="A205" s="1">
        <v>3</v>
      </c>
      <c r="B205" s="1">
        <v>425</v>
      </c>
      <c r="C205" s="1" t="s">
        <v>20</v>
      </c>
      <c r="D205" s="1" t="s">
        <v>24</v>
      </c>
      <c r="E205" s="1" t="s">
        <v>30</v>
      </c>
      <c r="F205" t="e">
        <f>TEXT(#REF!,"YYY")</f>
        <v>#REF!</v>
      </c>
      <c r="G205" t="e">
        <f>TEXT(#REF!,"MMM")</f>
        <v>#REF!</v>
      </c>
      <c r="H205" t="e">
        <f>TEXT(#REF!,"DDD")</f>
        <v>#REF!</v>
      </c>
      <c r="I205" t="e">
        <f>DATEDIF(#REF!,#REF!,"D")</f>
        <v>#REF!</v>
      </c>
      <c r="J205" s="7" t="e">
        <f>ROUND(Table2[[#This Row],[Quantity]]*Table2[[#This Row],[Unit Price]]*VLOOKUP(#REF!,Table_1[#All],2,FALSE),0)</f>
        <v>#REF!</v>
      </c>
      <c r="K205" s="7">
        <f>Table2[[#This Row],[Quantity]]*Table2[[#This Row],[Unit Price]]</f>
        <v>1275</v>
      </c>
      <c r="L205" s="7" t="e">
        <f>Table2[[#This Row],[Sales Revenue]]-Table2[[#This Row],[Total Cost After Product Percentage Calc]]</f>
        <v>#REF!</v>
      </c>
    </row>
    <row r="206" spans="1:12" ht="14.25" customHeight="1" x14ac:dyDescent="0.3">
      <c r="A206" s="1">
        <v>5</v>
      </c>
      <c r="B206" s="1">
        <v>386</v>
      </c>
      <c r="C206" s="1" t="s">
        <v>10</v>
      </c>
      <c r="D206" s="1" t="s">
        <v>24</v>
      </c>
      <c r="E206" s="1" t="s">
        <v>30</v>
      </c>
      <c r="F206" t="e">
        <f>TEXT(#REF!,"YYY")</f>
        <v>#REF!</v>
      </c>
      <c r="G206" t="e">
        <f>TEXT(#REF!,"MMM")</f>
        <v>#REF!</v>
      </c>
      <c r="H206" t="e">
        <f>TEXT(#REF!,"DDD")</f>
        <v>#REF!</v>
      </c>
      <c r="I206" t="e">
        <f>DATEDIF(#REF!,#REF!,"D")</f>
        <v>#REF!</v>
      </c>
      <c r="J206" s="7" t="e">
        <f>ROUND(Table2[[#This Row],[Quantity]]*Table2[[#This Row],[Unit Price]]*VLOOKUP(#REF!,Table_1[#All],2,FALSE),0)</f>
        <v>#REF!</v>
      </c>
      <c r="K206" s="7">
        <f>Table2[[#This Row],[Quantity]]*Table2[[#This Row],[Unit Price]]</f>
        <v>1930</v>
      </c>
      <c r="L206" s="7" t="e">
        <f>Table2[[#This Row],[Sales Revenue]]-Table2[[#This Row],[Total Cost After Product Percentage Calc]]</f>
        <v>#REF!</v>
      </c>
    </row>
    <row r="207" spans="1:12" ht="14.25" customHeight="1" x14ac:dyDescent="0.3">
      <c r="A207" s="1">
        <v>4</v>
      </c>
      <c r="B207" s="1">
        <v>790</v>
      </c>
      <c r="C207" s="1" t="s">
        <v>10</v>
      </c>
      <c r="D207" s="1" t="s">
        <v>11</v>
      </c>
      <c r="E207" s="1" t="s">
        <v>14</v>
      </c>
      <c r="F207" t="e">
        <f>TEXT(#REF!,"YYY")</f>
        <v>#REF!</v>
      </c>
      <c r="G207" t="e">
        <f>TEXT(#REF!,"MMM")</f>
        <v>#REF!</v>
      </c>
      <c r="H207" t="e">
        <f>TEXT(#REF!,"DDD")</f>
        <v>#REF!</v>
      </c>
      <c r="I207" t="e">
        <f>DATEDIF(#REF!,#REF!,"D")</f>
        <v>#REF!</v>
      </c>
      <c r="J207" s="7" t="e">
        <f>ROUND(Table2[[#This Row],[Quantity]]*Table2[[#This Row],[Unit Price]]*VLOOKUP(#REF!,Table_1[#All],2,FALSE),0)</f>
        <v>#REF!</v>
      </c>
      <c r="K207" s="7">
        <f>Table2[[#This Row],[Quantity]]*Table2[[#This Row],[Unit Price]]</f>
        <v>3160</v>
      </c>
      <c r="L207" s="7" t="e">
        <f>Table2[[#This Row],[Sales Revenue]]-Table2[[#This Row],[Total Cost After Product Percentage Calc]]</f>
        <v>#REF!</v>
      </c>
    </row>
    <row r="208" spans="1:12" ht="14.25" customHeight="1" x14ac:dyDescent="0.3">
      <c r="A208" s="1">
        <v>6</v>
      </c>
      <c r="B208" s="1">
        <v>89</v>
      </c>
      <c r="C208" s="1" t="s">
        <v>10</v>
      </c>
      <c r="D208" s="1" t="s">
        <v>24</v>
      </c>
      <c r="E208" s="1" t="s">
        <v>14</v>
      </c>
      <c r="F208" t="e">
        <f>TEXT(#REF!,"YYY")</f>
        <v>#REF!</v>
      </c>
      <c r="G208" t="e">
        <f>TEXT(#REF!,"MMM")</f>
        <v>#REF!</v>
      </c>
      <c r="H208" t="e">
        <f>TEXT(#REF!,"DDD")</f>
        <v>#REF!</v>
      </c>
      <c r="I208" t="e">
        <f>DATEDIF(#REF!,#REF!,"D")</f>
        <v>#REF!</v>
      </c>
      <c r="J208" s="7" t="e">
        <f>ROUND(Table2[[#This Row],[Quantity]]*Table2[[#This Row],[Unit Price]]*VLOOKUP(#REF!,Table_1[#All],2,FALSE),0)</f>
        <v>#REF!</v>
      </c>
      <c r="K208" s="7">
        <f>Table2[[#This Row],[Quantity]]*Table2[[#This Row],[Unit Price]]</f>
        <v>534</v>
      </c>
      <c r="L208" s="7" t="e">
        <f>Table2[[#This Row],[Sales Revenue]]-Table2[[#This Row],[Total Cost After Product Percentage Calc]]</f>
        <v>#REF!</v>
      </c>
    </row>
    <row r="209" spans="1:12" ht="14.25" customHeight="1" x14ac:dyDescent="0.3">
      <c r="A209" s="1">
        <v>4</v>
      </c>
      <c r="B209" s="1">
        <v>744</v>
      </c>
      <c r="C209" s="1" t="s">
        <v>10</v>
      </c>
      <c r="D209" s="1" t="s">
        <v>24</v>
      </c>
      <c r="E209" s="1" t="s">
        <v>14</v>
      </c>
      <c r="F209" t="e">
        <f>TEXT(#REF!,"YYY")</f>
        <v>#REF!</v>
      </c>
      <c r="G209" t="e">
        <f>TEXT(#REF!,"MMM")</f>
        <v>#REF!</v>
      </c>
      <c r="H209" t="e">
        <f>TEXT(#REF!,"DDD")</f>
        <v>#REF!</v>
      </c>
      <c r="I209" t="e">
        <f>DATEDIF(#REF!,#REF!,"D")</f>
        <v>#REF!</v>
      </c>
      <c r="J209" s="7" t="e">
        <f>ROUND(Table2[[#This Row],[Quantity]]*Table2[[#This Row],[Unit Price]]*VLOOKUP(#REF!,Table_1[#All],2,FALSE),0)</f>
        <v>#REF!</v>
      </c>
      <c r="K209" s="7">
        <f>Table2[[#This Row],[Quantity]]*Table2[[#This Row],[Unit Price]]</f>
        <v>2976</v>
      </c>
      <c r="L209" s="7" t="e">
        <f>Table2[[#This Row],[Sales Revenue]]-Table2[[#This Row],[Total Cost After Product Percentage Calc]]</f>
        <v>#REF!</v>
      </c>
    </row>
    <row r="210" spans="1:12" ht="14.25" customHeight="1" x14ac:dyDescent="0.3">
      <c r="A210" s="1">
        <v>8</v>
      </c>
      <c r="B210" s="1">
        <v>698</v>
      </c>
      <c r="C210" s="1" t="s">
        <v>20</v>
      </c>
      <c r="D210" s="1" t="s">
        <v>16</v>
      </c>
      <c r="E210" s="1" t="s">
        <v>30</v>
      </c>
      <c r="F210" t="e">
        <f>TEXT(#REF!,"YYY")</f>
        <v>#REF!</v>
      </c>
      <c r="G210" t="e">
        <f>TEXT(#REF!,"MMM")</f>
        <v>#REF!</v>
      </c>
      <c r="H210" t="e">
        <f>TEXT(#REF!,"DDD")</f>
        <v>#REF!</v>
      </c>
      <c r="I210" t="e">
        <f>DATEDIF(#REF!,#REF!,"D")</f>
        <v>#REF!</v>
      </c>
      <c r="J210" s="7" t="e">
        <f>ROUND(Table2[[#This Row],[Quantity]]*Table2[[#This Row],[Unit Price]]*VLOOKUP(#REF!,Table_1[#All],2,FALSE),0)</f>
        <v>#REF!</v>
      </c>
      <c r="K210" s="7">
        <f>Table2[[#This Row],[Quantity]]*Table2[[#This Row],[Unit Price]]</f>
        <v>5584</v>
      </c>
      <c r="L210" s="7" t="e">
        <f>Table2[[#This Row],[Sales Revenue]]-Table2[[#This Row],[Total Cost After Product Percentage Calc]]</f>
        <v>#REF!</v>
      </c>
    </row>
    <row r="211" spans="1:12" ht="14.25" customHeight="1" x14ac:dyDescent="0.3">
      <c r="A211" s="1">
        <v>1</v>
      </c>
      <c r="B211" s="1">
        <v>773</v>
      </c>
      <c r="C211" s="1" t="s">
        <v>10</v>
      </c>
      <c r="D211" s="1" t="s">
        <v>11</v>
      </c>
      <c r="E211" s="1" t="s">
        <v>30</v>
      </c>
      <c r="F211" t="e">
        <f>TEXT(#REF!,"YYY")</f>
        <v>#REF!</v>
      </c>
      <c r="G211" t="e">
        <f>TEXT(#REF!,"MMM")</f>
        <v>#REF!</v>
      </c>
      <c r="H211" t="e">
        <f>TEXT(#REF!,"DDD")</f>
        <v>#REF!</v>
      </c>
      <c r="I211" t="e">
        <f>DATEDIF(#REF!,#REF!,"D")</f>
        <v>#REF!</v>
      </c>
      <c r="J211" s="7" t="e">
        <f>ROUND(Table2[[#This Row],[Quantity]]*Table2[[#This Row],[Unit Price]]*VLOOKUP(#REF!,Table_1[#All],2,FALSE),0)</f>
        <v>#REF!</v>
      </c>
      <c r="K211" s="7">
        <f>Table2[[#This Row],[Quantity]]*Table2[[#This Row],[Unit Price]]</f>
        <v>773</v>
      </c>
      <c r="L211" s="7" t="e">
        <f>Table2[[#This Row],[Sales Revenue]]-Table2[[#This Row],[Total Cost After Product Percentage Calc]]</f>
        <v>#REF!</v>
      </c>
    </row>
    <row r="212" spans="1:12" ht="14.25" customHeight="1" x14ac:dyDescent="0.3">
      <c r="A212" s="1">
        <v>7</v>
      </c>
      <c r="B212" s="1">
        <v>92</v>
      </c>
      <c r="C212" s="1" t="s">
        <v>10</v>
      </c>
      <c r="D212" s="1" t="s">
        <v>24</v>
      </c>
      <c r="E212" s="1" t="s">
        <v>12</v>
      </c>
      <c r="F212" t="e">
        <f>TEXT(#REF!,"YYY")</f>
        <v>#REF!</v>
      </c>
      <c r="G212" t="e">
        <f>TEXT(#REF!,"MMM")</f>
        <v>#REF!</v>
      </c>
      <c r="H212" t="e">
        <f>TEXT(#REF!,"DDD")</f>
        <v>#REF!</v>
      </c>
      <c r="I212" t="e">
        <f>DATEDIF(#REF!,#REF!,"D")</f>
        <v>#REF!</v>
      </c>
      <c r="J212" s="7" t="e">
        <f>ROUND(Table2[[#This Row],[Quantity]]*Table2[[#This Row],[Unit Price]]*VLOOKUP(#REF!,Table_1[#All],2,FALSE),0)</f>
        <v>#REF!</v>
      </c>
      <c r="K212" s="7">
        <f>Table2[[#This Row],[Quantity]]*Table2[[#This Row],[Unit Price]]</f>
        <v>644</v>
      </c>
      <c r="L212" s="7" t="e">
        <f>Table2[[#This Row],[Sales Revenue]]-Table2[[#This Row],[Total Cost After Product Percentage Calc]]</f>
        <v>#REF!</v>
      </c>
    </row>
    <row r="213" spans="1:12" ht="14.25" customHeight="1" x14ac:dyDescent="0.3">
      <c r="A213" s="1">
        <v>9</v>
      </c>
      <c r="B213" s="1">
        <v>412</v>
      </c>
      <c r="C213" s="1" t="s">
        <v>20</v>
      </c>
      <c r="D213" s="1" t="s">
        <v>24</v>
      </c>
      <c r="E213" s="1" t="s">
        <v>14</v>
      </c>
      <c r="F213" t="e">
        <f>TEXT(#REF!,"YYY")</f>
        <v>#REF!</v>
      </c>
      <c r="G213" t="e">
        <f>TEXT(#REF!,"MMM")</f>
        <v>#REF!</v>
      </c>
      <c r="H213" t="e">
        <f>TEXT(#REF!,"DDD")</f>
        <v>#REF!</v>
      </c>
      <c r="I213" t="e">
        <f>DATEDIF(#REF!,#REF!,"D")</f>
        <v>#REF!</v>
      </c>
      <c r="J213" s="7" t="e">
        <f>ROUND(Table2[[#This Row],[Quantity]]*Table2[[#This Row],[Unit Price]]*VLOOKUP(#REF!,Table_1[#All],2,FALSE),0)</f>
        <v>#REF!</v>
      </c>
      <c r="K213" s="7">
        <f>Table2[[#This Row],[Quantity]]*Table2[[#This Row],[Unit Price]]</f>
        <v>3708</v>
      </c>
      <c r="L213" s="7" t="e">
        <f>Table2[[#This Row],[Sales Revenue]]-Table2[[#This Row],[Total Cost After Product Percentage Calc]]</f>
        <v>#REF!</v>
      </c>
    </row>
    <row r="214" spans="1:12" ht="14.25" customHeight="1" x14ac:dyDescent="0.3">
      <c r="A214" s="1">
        <v>7</v>
      </c>
      <c r="B214" s="1">
        <v>639</v>
      </c>
      <c r="C214" s="1" t="s">
        <v>10</v>
      </c>
      <c r="D214" s="1" t="s">
        <v>16</v>
      </c>
      <c r="E214" s="1" t="s">
        <v>14</v>
      </c>
      <c r="F214" t="e">
        <f>TEXT(#REF!,"YYY")</f>
        <v>#REF!</v>
      </c>
      <c r="G214" t="e">
        <f>TEXT(#REF!,"MMM")</f>
        <v>#REF!</v>
      </c>
      <c r="H214" t="e">
        <f>TEXT(#REF!,"DDD")</f>
        <v>#REF!</v>
      </c>
      <c r="I214" t="e">
        <f>DATEDIF(#REF!,#REF!,"D")</f>
        <v>#REF!</v>
      </c>
      <c r="J214" s="7" t="e">
        <f>ROUND(Table2[[#This Row],[Quantity]]*Table2[[#This Row],[Unit Price]]*VLOOKUP(#REF!,Table_1[#All],2,FALSE),0)</f>
        <v>#REF!</v>
      </c>
      <c r="K214" s="7">
        <f>Table2[[#This Row],[Quantity]]*Table2[[#This Row],[Unit Price]]</f>
        <v>4473</v>
      </c>
      <c r="L214" s="7" t="e">
        <f>Table2[[#This Row],[Sales Revenue]]-Table2[[#This Row],[Total Cost After Product Percentage Calc]]</f>
        <v>#REF!</v>
      </c>
    </row>
    <row r="215" spans="1:12" ht="14.25" customHeight="1" x14ac:dyDescent="0.3">
      <c r="A215" s="1">
        <v>10</v>
      </c>
      <c r="B215" s="1">
        <v>44</v>
      </c>
      <c r="C215" s="1" t="s">
        <v>20</v>
      </c>
      <c r="D215" s="1" t="s">
        <v>21</v>
      </c>
      <c r="E215" s="1" t="s">
        <v>22</v>
      </c>
      <c r="F215" t="e">
        <f>TEXT(#REF!,"YYY")</f>
        <v>#REF!</v>
      </c>
      <c r="G215" t="e">
        <f>TEXT(#REF!,"MMM")</f>
        <v>#REF!</v>
      </c>
      <c r="H215" t="e">
        <f>TEXT(#REF!,"DDD")</f>
        <v>#REF!</v>
      </c>
      <c r="I215" t="e">
        <f>DATEDIF(#REF!,#REF!,"D")</f>
        <v>#REF!</v>
      </c>
      <c r="J215" s="7" t="e">
        <f>ROUND(Table2[[#This Row],[Quantity]]*Table2[[#This Row],[Unit Price]]*VLOOKUP(#REF!,Table_1[#All],2,FALSE),0)</f>
        <v>#REF!</v>
      </c>
      <c r="K215" s="7">
        <f>Table2[[#This Row],[Quantity]]*Table2[[#This Row],[Unit Price]]</f>
        <v>440</v>
      </c>
      <c r="L215" s="7" t="e">
        <f>Table2[[#This Row],[Sales Revenue]]-Table2[[#This Row],[Total Cost After Product Percentage Calc]]</f>
        <v>#REF!</v>
      </c>
    </row>
    <row r="216" spans="1:12" ht="14.25" customHeight="1" x14ac:dyDescent="0.3">
      <c r="A216" s="1">
        <v>7</v>
      </c>
      <c r="B216" s="1">
        <v>459</v>
      </c>
      <c r="C216" s="1" t="s">
        <v>10</v>
      </c>
      <c r="D216" s="1" t="s">
        <v>11</v>
      </c>
      <c r="E216" s="1" t="s">
        <v>14</v>
      </c>
      <c r="F216" t="e">
        <f>TEXT(#REF!,"YYY")</f>
        <v>#REF!</v>
      </c>
      <c r="G216" t="e">
        <f>TEXT(#REF!,"MMM")</f>
        <v>#REF!</v>
      </c>
      <c r="H216" t="e">
        <f>TEXT(#REF!,"DDD")</f>
        <v>#REF!</v>
      </c>
      <c r="I216" t="e">
        <f>DATEDIF(#REF!,#REF!,"D")</f>
        <v>#REF!</v>
      </c>
      <c r="J216" s="7" t="e">
        <f>ROUND(Table2[[#This Row],[Quantity]]*Table2[[#This Row],[Unit Price]]*VLOOKUP(#REF!,Table_1[#All],2,FALSE),0)</f>
        <v>#REF!</v>
      </c>
      <c r="K216" s="7">
        <f>Table2[[#This Row],[Quantity]]*Table2[[#This Row],[Unit Price]]</f>
        <v>3213</v>
      </c>
      <c r="L216" s="7" t="e">
        <f>Table2[[#This Row],[Sales Revenue]]-Table2[[#This Row],[Total Cost After Product Percentage Calc]]</f>
        <v>#REF!</v>
      </c>
    </row>
    <row r="217" spans="1:12" ht="14.25" customHeight="1" x14ac:dyDescent="0.3">
      <c r="A217" s="1">
        <v>6</v>
      </c>
      <c r="B217" s="1">
        <v>252</v>
      </c>
      <c r="C217" s="1" t="s">
        <v>20</v>
      </c>
      <c r="D217" s="1" t="s">
        <v>31</v>
      </c>
      <c r="E217" s="1" t="s">
        <v>22</v>
      </c>
      <c r="F217" t="e">
        <f>TEXT(#REF!,"YYY")</f>
        <v>#REF!</v>
      </c>
      <c r="G217" t="e">
        <f>TEXT(#REF!,"MMM")</f>
        <v>#REF!</v>
      </c>
      <c r="H217" t="e">
        <f>TEXT(#REF!,"DDD")</f>
        <v>#REF!</v>
      </c>
      <c r="I217" t="e">
        <f>DATEDIF(#REF!,#REF!,"D")</f>
        <v>#REF!</v>
      </c>
      <c r="J217" s="7" t="e">
        <f>ROUND(Table2[[#This Row],[Quantity]]*Table2[[#This Row],[Unit Price]]*VLOOKUP(#REF!,Table_1[#All],2,FALSE),0)</f>
        <v>#REF!</v>
      </c>
      <c r="K217" s="7">
        <f>Table2[[#This Row],[Quantity]]*Table2[[#This Row],[Unit Price]]</f>
        <v>1512</v>
      </c>
      <c r="L217" s="7" t="e">
        <f>Table2[[#This Row],[Sales Revenue]]-Table2[[#This Row],[Total Cost After Product Percentage Calc]]</f>
        <v>#REF!</v>
      </c>
    </row>
    <row r="218" spans="1:12" ht="14.25" customHeight="1" x14ac:dyDescent="0.3">
      <c r="A218" s="1">
        <v>5</v>
      </c>
      <c r="B218" s="1">
        <v>291</v>
      </c>
      <c r="C218" s="1" t="s">
        <v>20</v>
      </c>
      <c r="D218" s="1" t="s">
        <v>11</v>
      </c>
      <c r="E218" s="1" t="s">
        <v>22</v>
      </c>
      <c r="F218" t="e">
        <f>TEXT(#REF!,"YYY")</f>
        <v>#REF!</v>
      </c>
      <c r="G218" t="e">
        <f>TEXT(#REF!,"MMM")</f>
        <v>#REF!</v>
      </c>
      <c r="H218" t="e">
        <f>TEXT(#REF!,"DDD")</f>
        <v>#REF!</v>
      </c>
      <c r="I218" t="e">
        <f>DATEDIF(#REF!,#REF!,"D")</f>
        <v>#REF!</v>
      </c>
      <c r="J218" s="7" t="e">
        <f>ROUND(Table2[[#This Row],[Quantity]]*Table2[[#This Row],[Unit Price]]*VLOOKUP(#REF!,Table_1[#All],2,FALSE),0)</f>
        <v>#REF!</v>
      </c>
      <c r="K218" s="7">
        <f>Table2[[#This Row],[Quantity]]*Table2[[#This Row],[Unit Price]]</f>
        <v>1455</v>
      </c>
      <c r="L218" s="7" t="e">
        <f>Table2[[#This Row],[Sales Revenue]]-Table2[[#This Row],[Total Cost After Product Percentage Calc]]</f>
        <v>#REF!</v>
      </c>
    </row>
    <row r="219" spans="1:12" ht="14.25" customHeight="1" x14ac:dyDescent="0.3">
      <c r="A219" s="1">
        <v>8</v>
      </c>
      <c r="B219" s="1">
        <v>58</v>
      </c>
      <c r="C219" s="1" t="s">
        <v>20</v>
      </c>
      <c r="D219" s="1" t="s">
        <v>31</v>
      </c>
      <c r="E219" s="1" t="s">
        <v>30</v>
      </c>
      <c r="F219" t="e">
        <f>TEXT(#REF!,"YYY")</f>
        <v>#REF!</v>
      </c>
      <c r="G219" t="e">
        <f>TEXT(#REF!,"MMM")</f>
        <v>#REF!</v>
      </c>
      <c r="H219" t="e">
        <f>TEXT(#REF!,"DDD")</f>
        <v>#REF!</v>
      </c>
      <c r="I219" t="e">
        <f>DATEDIF(#REF!,#REF!,"D")</f>
        <v>#REF!</v>
      </c>
      <c r="J219" s="7" t="e">
        <f>ROUND(Table2[[#This Row],[Quantity]]*Table2[[#This Row],[Unit Price]]*VLOOKUP(#REF!,Table_1[#All],2,FALSE),0)</f>
        <v>#REF!</v>
      </c>
      <c r="K219" s="7">
        <f>Table2[[#This Row],[Quantity]]*Table2[[#This Row],[Unit Price]]</f>
        <v>464</v>
      </c>
      <c r="L219" s="7" t="e">
        <f>Table2[[#This Row],[Sales Revenue]]-Table2[[#This Row],[Total Cost After Product Percentage Calc]]</f>
        <v>#REF!</v>
      </c>
    </row>
    <row r="220" spans="1:12" ht="14.25" customHeight="1" x14ac:dyDescent="0.3">
      <c r="A220" s="1">
        <v>3</v>
      </c>
      <c r="B220" s="1">
        <v>317</v>
      </c>
      <c r="C220" s="1" t="s">
        <v>20</v>
      </c>
      <c r="D220" s="1" t="s">
        <v>21</v>
      </c>
      <c r="E220" s="1" t="s">
        <v>22</v>
      </c>
      <c r="F220" t="e">
        <f>TEXT(#REF!,"YYY")</f>
        <v>#REF!</v>
      </c>
      <c r="G220" t="e">
        <f>TEXT(#REF!,"MMM")</f>
        <v>#REF!</v>
      </c>
      <c r="H220" t="e">
        <f>TEXT(#REF!,"DDD")</f>
        <v>#REF!</v>
      </c>
      <c r="I220" t="e">
        <f>DATEDIF(#REF!,#REF!,"D")</f>
        <v>#REF!</v>
      </c>
      <c r="J220" s="7" t="e">
        <f>ROUND(Table2[[#This Row],[Quantity]]*Table2[[#This Row],[Unit Price]]*VLOOKUP(#REF!,Table_1[#All],2,FALSE),0)</f>
        <v>#REF!</v>
      </c>
      <c r="K220" s="7">
        <f>Table2[[#This Row],[Quantity]]*Table2[[#This Row],[Unit Price]]</f>
        <v>951</v>
      </c>
      <c r="L220" s="7" t="e">
        <f>Table2[[#This Row],[Sales Revenue]]-Table2[[#This Row],[Total Cost After Product Percentage Calc]]</f>
        <v>#REF!</v>
      </c>
    </row>
    <row r="221" spans="1:12" ht="14.25" customHeight="1" x14ac:dyDescent="0.3">
      <c r="A221" s="1">
        <v>1</v>
      </c>
      <c r="B221" s="1">
        <v>284</v>
      </c>
      <c r="C221" s="1" t="s">
        <v>20</v>
      </c>
      <c r="D221" s="1" t="s">
        <v>21</v>
      </c>
      <c r="E221" s="1" t="s">
        <v>12</v>
      </c>
      <c r="F221" t="e">
        <f>TEXT(#REF!,"YYY")</f>
        <v>#REF!</v>
      </c>
      <c r="G221" t="e">
        <f>TEXT(#REF!,"MMM")</f>
        <v>#REF!</v>
      </c>
      <c r="H221" t="e">
        <f>TEXT(#REF!,"DDD")</f>
        <v>#REF!</v>
      </c>
      <c r="I221" t="e">
        <f>DATEDIF(#REF!,#REF!,"D")</f>
        <v>#REF!</v>
      </c>
      <c r="J221" s="7" t="e">
        <f>ROUND(Table2[[#This Row],[Quantity]]*Table2[[#This Row],[Unit Price]]*VLOOKUP(#REF!,Table_1[#All],2,FALSE),0)</f>
        <v>#REF!</v>
      </c>
      <c r="K221" s="7">
        <f>Table2[[#This Row],[Quantity]]*Table2[[#This Row],[Unit Price]]</f>
        <v>284</v>
      </c>
      <c r="L221" s="7" t="e">
        <f>Table2[[#This Row],[Sales Revenue]]-Table2[[#This Row],[Total Cost After Product Percentage Calc]]</f>
        <v>#REF!</v>
      </c>
    </row>
    <row r="222" spans="1:12" ht="14.25" customHeight="1" x14ac:dyDescent="0.3">
      <c r="A222" s="1">
        <v>10</v>
      </c>
      <c r="B222" s="1">
        <v>751</v>
      </c>
      <c r="C222" s="1" t="s">
        <v>10</v>
      </c>
      <c r="D222" s="1" t="s">
        <v>24</v>
      </c>
      <c r="E222" s="1" t="s">
        <v>22</v>
      </c>
      <c r="F222" t="e">
        <f>TEXT(#REF!,"YYY")</f>
        <v>#REF!</v>
      </c>
      <c r="G222" t="e">
        <f>TEXT(#REF!,"MMM")</f>
        <v>#REF!</v>
      </c>
      <c r="H222" t="e">
        <f>TEXT(#REF!,"DDD")</f>
        <v>#REF!</v>
      </c>
      <c r="I222" t="e">
        <f>DATEDIF(#REF!,#REF!,"D")</f>
        <v>#REF!</v>
      </c>
      <c r="J222" s="7" t="e">
        <f>ROUND(Table2[[#This Row],[Quantity]]*Table2[[#This Row],[Unit Price]]*VLOOKUP(#REF!,Table_1[#All],2,FALSE),0)</f>
        <v>#REF!</v>
      </c>
      <c r="K222" s="7">
        <f>Table2[[#This Row],[Quantity]]*Table2[[#This Row],[Unit Price]]</f>
        <v>7510</v>
      </c>
      <c r="L222" s="7" t="e">
        <f>Table2[[#This Row],[Sales Revenue]]-Table2[[#This Row],[Total Cost After Product Percentage Calc]]</f>
        <v>#REF!</v>
      </c>
    </row>
    <row r="223" spans="1:12" ht="14.25" customHeight="1" x14ac:dyDescent="0.3">
      <c r="A223" s="1">
        <v>5</v>
      </c>
      <c r="B223" s="1">
        <v>989</v>
      </c>
      <c r="C223" s="1" t="s">
        <v>10</v>
      </c>
      <c r="D223" s="1" t="s">
        <v>11</v>
      </c>
      <c r="E223" s="1" t="s">
        <v>12</v>
      </c>
      <c r="F223" t="e">
        <f>TEXT(#REF!,"YYY")</f>
        <v>#REF!</v>
      </c>
      <c r="G223" t="e">
        <f>TEXT(#REF!,"MMM")</f>
        <v>#REF!</v>
      </c>
      <c r="H223" t="e">
        <f>TEXT(#REF!,"DDD")</f>
        <v>#REF!</v>
      </c>
      <c r="I223" t="e">
        <f>DATEDIF(#REF!,#REF!,"D")</f>
        <v>#REF!</v>
      </c>
      <c r="J223" s="7" t="e">
        <f>ROUND(Table2[[#This Row],[Quantity]]*Table2[[#This Row],[Unit Price]]*VLOOKUP(#REF!,Table_1[#All],2,FALSE),0)</f>
        <v>#REF!</v>
      </c>
      <c r="K223" s="7">
        <f>Table2[[#This Row],[Quantity]]*Table2[[#This Row],[Unit Price]]</f>
        <v>4945</v>
      </c>
      <c r="L223" s="7" t="e">
        <f>Table2[[#This Row],[Sales Revenue]]-Table2[[#This Row],[Total Cost After Product Percentage Calc]]</f>
        <v>#REF!</v>
      </c>
    </row>
    <row r="224" spans="1:12" ht="14.25" customHeight="1" x14ac:dyDescent="0.3">
      <c r="A224" s="1">
        <v>10</v>
      </c>
      <c r="B224" s="1">
        <v>730</v>
      </c>
      <c r="C224" s="1" t="s">
        <v>10</v>
      </c>
      <c r="D224" s="1" t="s">
        <v>11</v>
      </c>
      <c r="E224" s="1" t="s">
        <v>12</v>
      </c>
      <c r="F224" t="e">
        <f>TEXT(#REF!,"YYY")</f>
        <v>#REF!</v>
      </c>
      <c r="G224" t="e">
        <f>TEXT(#REF!,"MMM")</f>
        <v>#REF!</v>
      </c>
      <c r="H224" t="e">
        <f>TEXT(#REF!,"DDD")</f>
        <v>#REF!</v>
      </c>
      <c r="I224" t="e">
        <f>DATEDIF(#REF!,#REF!,"D")</f>
        <v>#REF!</v>
      </c>
      <c r="J224" s="7" t="e">
        <f>ROUND(Table2[[#This Row],[Quantity]]*Table2[[#This Row],[Unit Price]]*VLOOKUP(#REF!,Table_1[#All],2,FALSE),0)</f>
        <v>#REF!</v>
      </c>
      <c r="K224" s="7">
        <f>Table2[[#This Row],[Quantity]]*Table2[[#This Row],[Unit Price]]</f>
        <v>7300</v>
      </c>
      <c r="L224" s="7" t="e">
        <f>Table2[[#This Row],[Sales Revenue]]-Table2[[#This Row],[Total Cost After Product Percentage Calc]]</f>
        <v>#REF!</v>
      </c>
    </row>
    <row r="225" spans="1:12" ht="14.25" customHeight="1" x14ac:dyDescent="0.3">
      <c r="A225" s="1">
        <v>7</v>
      </c>
      <c r="B225" s="1">
        <v>56</v>
      </c>
      <c r="C225" s="1" t="s">
        <v>20</v>
      </c>
      <c r="D225" s="1" t="s">
        <v>24</v>
      </c>
      <c r="E225" s="1" t="s">
        <v>22</v>
      </c>
      <c r="F225" t="e">
        <f>TEXT(#REF!,"YYY")</f>
        <v>#REF!</v>
      </c>
      <c r="G225" t="e">
        <f>TEXT(#REF!,"MMM")</f>
        <v>#REF!</v>
      </c>
      <c r="H225" t="e">
        <f>TEXT(#REF!,"DDD")</f>
        <v>#REF!</v>
      </c>
      <c r="I225" t="e">
        <f>DATEDIF(#REF!,#REF!,"D")</f>
        <v>#REF!</v>
      </c>
      <c r="J225" s="7" t="e">
        <f>ROUND(Table2[[#This Row],[Quantity]]*Table2[[#This Row],[Unit Price]]*VLOOKUP(#REF!,Table_1[#All],2,FALSE),0)</f>
        <v>#REF!</v>
      </c>
      <c r="K225" s="7">
        <f>Table2[[#This Row],[Quantity]]*Table2[[#This Row],[Unit Price]]</f>
        <v>392</v>
      </c>
      <c r="L225" s="7" t="e">
        <f>Table2[[#This Row],[Sales Revenue]]-Table2[[#This Row],[Total Cost After Product Percentage Calc]]</f>
        <v>#REF!</v>
      </c>
    </row>
    <row r="226" spans="1:12" ht="14.25" customHeight="1" x14ac:dyDescent="0.3">
      <c r="A226" s="1">
        <v>9</v>
      </c>
      <c r="B226" s="1">
        <v>967</v>
      </c>
      <c r="C226" s="1" t="s">
        <v>20</v>
      </c>
      <c r="D226" s="1" t="s">
        <v>24</v>
      </c>
      <c r="E226" s="1" t="s">
        <v>12</v>
      </c>
      <c r="F226" t="e">
        <f>TEXT(#REF!,"YYY")</f>
        <v>#REF!</v>
      </c>
      <c r="G226" t="e">
        <f>TEXT(#REF!,"MMM")</f>
        <v>#REF!</v>
      </c>
      <c r="H226" t="e">
        <f>TEXT(#REF!,"DDD")</f>
        <v>#REF!</v>
      </c>
      <c r="I226" t="e">
        <f>DATEDIF(#REF!,#REF!,"D")</f>
        <v>#REF!</v>
      </c>
      <c r="J226" s="7" t="e">
        <f>ROUND(Table2[[#This Row],[Quantity]]*Table2[[#This Row],[Unit Price]]*VLOOKUP(#REF!,Table_1[#All],2,FALSE),0)</f>
        <v>#REF!</v>
      </c>
      <c r="K226" s="7">
        <f>Table2[[#This Row],[Quantity]]*Table2[[#This Row],[Unit Price]]</f>
        <v>8703</v>
      </c>
      <c r="L226" s="7" t="e">
        <f>Table2[[#This Row],[Sales Revenue]]-Table2[[#This Row],[Total Cost After Product Percentage Calc]]</f>
        <v>#REF!</v>
      </c>
    </row>
    <row r="227" spans="1:12" ht="14.25" customHeight="1" x14ac:dyDescent="0.3">
      <c r="A227" s="1">
        <v>4</v>
      </c>
      <c r="B227" s="1">
        <v>347</v>
      </c>
      <c r="C227" s="1" t="s">
        <v>20</v>
      </c>
      <c r="D227" s="1" t="s">
        <v>11</v>
      </c>
      <c r="E227" s="1" t="s">
        <v>14</v>
      </c>
      <c r="F227" t="e">
        <f>TEXT(#REF!,"YYY")</f>
        <v>#REF!</v>
      </c>
      <c r="G227" t="e">
        <f>TEXT(#REF!,"MMM")</f>
        <v>#REF!</v>
      </c>
      <c r="H227" t="e">
        <f>TEXT(#REF!,"DDD")</f>
        <v>#REF!</v>
      </c>
      <c r="I227" t="e">
        <f>DATEDIF(#REF!,#REF!,"D")</f>
        <v>#REF!</v>
      </c>
      <c r="J227" s="7" t="e">
        <f>ROUND(Table2[[#This Row],[Quantity]]*Table2[[#This Row],[Unit Price]]*VLOOKUP(#REF!,Table_1[#All],2,FALSE),0)</f>
        <v>#REF!</v>
      </c>
      <c r="K227" s="7">
        <f>Table2[[#This Row],[Quantity]]*Table2[[#This Row],[Unit Price]]</f>
        <v>1388</v>
      </c>
      <c r="L227" s="7" t="e">
        <f>Table2[[#This Row],[Sales Revenue]]-Table2[[#This Row],[Total Cost After Product Percentage Calc]]</f>
        <v>#REF!</v>
      </c>
    </row>
    <row r="228" spans="1:12" ht="14.25" customHeight="1" x14ac:dyDescent="0.3">
      <c r="A228" s="1">
        <v>6</v>
      </c>
      <c r="B228" s="1">
        <v>273</v>
      </c>
      <c r="C228" s="1" t="s">
        <v>20</v>
      </c>
      <c r="D228" s="1" t="s">
        <v>16</v>
      </c>
      <c r="E228" s="1" t="s">
        <v>30</v>
      </c>
      <c r="F228" t="e">
        <f>TEXT(#REF!,"YYY")</f>
        <v>#REF!</v>
      </c>
      <c r="G228" t="e">
        <f>TEXT(#REF!,"MMM")</f>
        <v>#REF!</v>
      </c>
      <c r="H228" t="e">
        <f>TEXT(#REF!,"DDD")</f>
        <v>#REF!</v>
      </c>
      <c r="I228" t="e">
        <f>DATEDIF(#REF!,#REF!,"D")</f>
        <v>#REF!</v>
      </c>
      <c r="J228" s="7" t="e">
        <f>ROUND(Table2[[#This Row],[Quantity]]*Table2[[#This Row],[Unit Price]]*VLOOKUP(#REF!,Table_1[#All],2,FALSE),0)</f>
        <v>#REF!</v>
      </c>
      <c r="K228" s="7">
        <f>Table2[[#This Row],[Quantity]]*Table2[[#This Row],[Unit Price]]</f>
        <v>1638</v>
      </c>
      <c r="L228" s="7" t="e">
        <f>Table2[[#This Row],[Sales Revenue]]-Table2[[#This Row],[Total Cost After Product Percentage Calc]]</f>
        <v>#REF!</v>
      </c>
    </row>
    <row r="229" spans="1:12" ht="14.25" customHeight="1" x14ac:dyDescent="0.3">
      <c r="A229" s="1">
        <v>1</v>
      </c>
      <c r="B229" s="1">
        <v>546</v>
      </c>
      <c r="C229" s="1" t="s">
        <v>20</v>
      </c>
      <c r="D229" s="1" t="s">
        <v>11</v>
      </c>
      <c r="E229" s="1" t="s">
        <v>22</v>
      </c>
      <c r="F229" t="e">
        <f>TEXT(#REF!,"YYY")</f>
        <v>#REF!</v>
      </c>
      <c r="G229" t="e">
        <f>TEXT(#REF!,"MMM")</f>
        <v>#REF!</v>
      </c>
      <c r="H229" t="e">
        <f>TEXT(#REF!,"DDD")</f>
        <v>#REF!</v>
      </c>
      <c r="I229" t="e">
        <f>DATEDIF(#REF!,#REF!,"D")</f>
        <v>#REF!</v>
      </c>
      <c r="J229" s="7" t="e">
        <f>ROUND(Table2[[#This Row],[Quantity]]*Table2[[#This Row],[Unit Price]]*VLOOKUP(#REF!,Table_1[#All],2,FALSE),0)</f>
        <v>#REF!</v>
      </c>
      <c r="K229" s="7">
        <f>Table2[[#This Row],[Quantity]]*Table2[[#This Row],[Unit Price]]</f>
        <v>546</v>
      </c>
      <c r="L229" s="7" t="e">
        <f>Table2[[#This Row],[Sales Revenue]]-Table2[[#This Row],[Total Cost After Product Percentage Calc]]</f>
        <v>#REF!</v>
      </c>
    </row>
    <row r="230" spans="1:12" ht="14.25" customHeight="1" x14ac:dyDescent="0.3">
      <c r="A230" s="1">
        <v>3</v>
      </c>
      <c r="B230" s="1">
        <v>872</v>
      </c>
      <c r="C230" s="1" t="s">
        <v>10</v>
      </c>
      <c r="D230" s="1" t="s">
        <v>24</v>
      </c>
      <c r="E230" s="1" t="s">
        <v>22</v>
      </c>
      <c r="F230" t="e">
        <f>TEXT(#REF!,"YYY")</f>
        <v>#REF!</v>
      </c>
      <c r="G230" t="e">
        <f>TEXT(#REF!,"MMM")</f>
        <v>#REF!</v>
      </c>
      <c r="H230" t="e">
        <f>TEXT(#REF!,"DDD")</f>
        <v>#REF!</v>
      </c>
      <c r="I230" t="e">
        <f>DATEDIF(#REF!,#REF!,"D")</f>
        <v>#REF!</v>
      </c>
      <c r="J230" s="7" t="e">
        <f>ROUND(Table2[[#This Row],[Quantity]]*Table2[[#This Row],[Unit Price]]*VLOOKUP(#REF!,Table_1[#All],2,FALSE),0)</f>
        <v>#REF!</v>
      </c>
      <c r="K230" s="7">
        <f>Table2[[#This Row],[Quantity]]*Table2[[#This Row],[Unit Price]]</f>
        <v>2616</v>
      </c>
      <c r="L230" s="7" t="e">
        <f>Table2[[#This Row],[Sales Revenue]]-Table2[[#This Row],[Total Cost After Product Percentage Calc]]</f>
        <v>#REF!</v>
      </c>
    </row>
    <row r="231" spans="1:12" ht="14.25" customHeight="1" x14ac:dyDescent="0.3">
      <c r="A231" s="1">
        <v>9</v>
      </c>
      <c r="B231" s="1">
        <v>476</v>
      </c>
      <c r="C231" s="1" t="s">
        <v>20</v>
      </c>
      <c r="D231" s="1" t="s">
        <v>31</v>
      </c>
      <c r="E231" s="1" t="s">
        <v>30</v>
      </c>
      <c r="F231" t="e">
        <f>TEXT(#REF!,"YYY")</f>
        <v>#REF!</v>
      </c>
      <c r="G231" t="e">
        <f>TEXT(#REF!,"MMM")</f>
        <v>#REF!</v>
      </c>
      <c r="H231" t="e">
        <f>TEXT(#REF!,"DDD")</f>
        <v>#REF!</v>
      </c>
      <c r="I231" t="e">
        <f>DATEDIF(#REF!,#REF!,"D")</f>
        <v>#REF!</v>
      </c>
      <c r="J231" s="7" t="e">
        <f>ROUND(Table2[[#This Row],[Quantity]]*Table2[[#This Row],[Unit Price]]*VLOOKUP(#REF!,Table_1[#All],2,FALSE),0)</f>
        <v>#REF!</v>
      </c>
      <c r="K231" s="7">
        <f>Table2[[#This Row],[Quantity]]*Table2[[#This Row],[Unit Price]]</f>
        <v>4284</v>
      </c>
      <c r="L231" s="7" t="e">
        <f>Table2[[#This Row],[Sales Revenue]]-Table2[[#This Row],[Total Cost After Product Percentage Calc]]</f>
        <v>#REF!</v>
      </c>
    </row>
    <row r="232" spans="1:12" ht="14.25" customHeight="1" x14ac:dyDescent="0.3">
      <c r="A232" s="1">
        <v>8</v>
      </c>
      <c r="B232" s="1">
        <v>26</v>
      </c>
      <c r="C232" s="1" t="s">
        <v>20</v>
      </c>
      <c r="D232" s="1" t="s">
        <v>11</v>
      </c>
      <c r="E232" s="1" t="s">
        <v>22</v>
      </c>
      <c r="F232" t="e">
        <f>TEXT(#REF!,"YYY")</f>
        <v>#REF!</v>
      </c>
      <c r="G232" t="e">
        <f>TEXT(#REF!,"MMM")</f>
        <v>#REF!</v>
      </c>
      <c r="H232" t="e">
        <f>TEXT(#REF!,"DDD")</f>
        <v>#REF!</v>
      </c>
      <c r="I232" t="e">
        <f>DATEDIF(#REF!,#REF!,"D")</f>
        <v>#REF!</v>
      </c>
      <c r="J232" s="7" t="e">
        <f>ROUND(Table2[[#This Row],[Quantity]]*Table2[[#This Row],[Unit Price]]*VLOOKUP(#REF!,Table_1[#All],2,FALSE),0)</f>
        <v>#REF!</v>
      </c>
      <c r="K232" s="7">
        <f>Table2[[#This Row],[Quantity]]*Table2[[#This Row],[Unit Price]]</f>
        <v>208</v>
      </c>
      <c r="L232" s="7" t="e">
        <f>Table2[[#This Row],[Sales Revenue]]-Table2[[#This Row],[Total Cost After Product Percentage Calc]]</f>
        <v>#REF!</v>
      </c>
    </row>
    <row r="233" spans="1:12" ht="14.25" customHeight="1" x14ac:dyDescent="0.3">
      <c r="A233" s="1">
        <v>7</v>
      </c>
      <c r="B233" s="1">
        <v>835</v>
      </c>
      <c r="C233" s="1" t="s">
        <v>10</v>
      </c>
      <c r="D233" s="1" t="s">
        <v>11</v>
      </c>
      <c r="E233" s="1" t="s">
        <v>30</v>
      </c>
      <c r="F233" t="e">
        <f>TEXT(#REF!,"YYY")</f>
        <v>#REF!</v>
      </c>
      <c r="G233" t="e">
        <f>TEXT(#REF!,"MMM")</f>
        <v>#REF!</v>
      </c>
      <c r="H233" t="e">
        <f>TEXT(#REF!,"DDD")</f>
        <v>#REF!</v>
      </c>
      <c r="I233" t="e">
        <f>DATEDIF(#REF!,#REF!,"D")</f>
        <v>#REF!</v>
      </c>
      <c r="J233" s="7" t="e">
        <f>ROUND(Table2[[#This Row],[Quantity]]*Table2[[#This Row],[Unit Price]]*VLOOKUP(#REF!,Table_1[#All],2,FALSE),0)</f>
        <v>#REF!</v>
      </c>
      <c r="K233" s="7">
        <f>Table2[[#This Row],[Quantity]]*Table2[[#This Row],[Unit Price]]</f>
        <v>5845</v>
      </c>
      <c r="L233" s="7" t="e">
        <f>Table2[[#This Row],[Sales Revenue]]-Table2[[#This Row],[Total Cost After Product Percentage Calc]]</f>
        <v>#REF!</v>
      </c>
    </row>
    <row r="234" spans="1:12" ht="14.25" customHeight="1" x14ac:dyDescent="0.3">
      <c r="A234" s="1">
        <v>6</v>
      </c>
      <c r="B234" s="1">
        <v>992</v>
      </c>
      <c r="C234" s="1" t="s">
        <v>20</v>
      </c>
      <c r="D234" s="1" t="s">
        <v>21</v>
      </c>
      <c r="E234" s="1" t="s">
        <v>12</v>
      </c>
      <c r="F234" t="e">
        <f>TEXT(#REF!,"YYY")</f>
        <v>#REF!</v>
      </c>
      <c r="G234" t="e">
        <f>TEXT(#REF!,"MMM")</f>
        <v>#REF!</v>
      </c>
      <c r="H234" t="e">
        <f>TEXT(#REF!,"DDD")</f>
        <v>#REF!</v>
      </c>
      <c r="I234" t="e">
        <f>DATEDIF(#REF!,#REF!,"D")</f>
        <v>#REF!</v>
      </c>
      <c r="J234" s="7" t="e">
        <f>ROUND(Table2[[#This Row],[Quantity]]*Table2[[#This Row],[Unit Price]]*VLOOKUP(#REF!,Table_1[#All],2,FALSE),0)</f>
        <v>#REF!</v>
      </c>
      <c r="K234" s="7">
        <f>Table2[[#This Row],[Quantity]]*Table2[[#This Row],[Unit Price]]</f>
        <v>5952</v>
      </c>
      <c r="L234" s="7" t="e">
        <f>Table2[[#This Row],[Sales Revenue]]-Table2[[#This Row],[Total Cost After Product Percentage Calc]]</f>
        <v>#REF!</v>
      </c>
    </row>
    <row r="235" spans="1:12" ht="14.25" customHeight="1" x14ac:dyDescent="0.3">
      <c r="A235" s="1">
        <v>2</v>
      </c>
      <c r="B235" s="1">
        <v>679</v>
      </c>
      <c r="C235" s="1" t="s">
        <v>10</v>
      </c>
      <c r="D235" s="1" t="s">
        <v>16</v>
      </c>
      <c r="E235" s="1" t="s">
        <v>12</v>
      </c>
      <c r="F235" t="e">
        <f>TEXT(#REF!,"YYY")</f>
        <v>#REF!</v>
      </c>
      <c r="G235" t="e">
        <f>TEXT(#REF!,"MMM")</f>
        <v>#REF!</v>
      </c>
      <c r="H235" t="e">
        <f>TEXT(#REF!,"DDD")</f>
        <v>#REF!</v>
      </c>
      <c r="I235" t="e">
        <f>DATEDIF(#REF!,#REF!,"D")</f>
        <v>#REF!</v>
      </c>
      <c r="J235" s="7" t="e">
        <f>ROUND(Table2[[#This Row],[Quantity]]*Table2[[#This Row],[Unit Price]]*VLOOKUP(#REF!,Table_1[#All],2,FALSE),0)</f>
        <v>#REF!</v>
      </c>
      <c r="K235" s="7">
        <f>Table2[[#This Row],[Quantity]]*Table2[[#This Row],[Unit Price]]</f>
        <v>1358</v>
      </c>
      <c r="L235" s="7" t="e">
        <f>Table2[[#This Row],[Sales Revenue]]-Table2[[#This Row],[Total Cost After Product Percentage Calc]]</f>
        <v>#REF!</v>
      </c>
    </row>
    <row r="236" spans="1:12" ht="14.25" customHeight="1" x14ac:dyDescent="0.3">
      <c r="A236" s="1">
        <v>9</v>
      </c>
      <c r="B236" s="1">
        <v>497</v>
      </c>
      <c r="C236" s="1" t="s">
        <v>20</v>
      </c>
      <c r="D236" s="1" t="s">
        <v>11</v>
      </c>
      <c r="E236" s="1" t="s">
        <v>30</v>
      </c>
      <c r="F236" t="e">
        <f>TEXT(#REF!,"YYY")</f>
        <v>#REF!</v>
      </c>
      <c r="G236" t="e">
        <f>TEXT(#REF!,"MMM")</f>
        <v>#REF!</v>
      </c>
      <c r="H236" t="e">
        <f>TEXT(#REF!,"DDD")</f>
        <v>#REF!</v>
      </c>
      <c r="I236" t="e">
        <f>DATEDIF(#REF!,#REF!,"D")</f>
        <v>#REF!</v>
      </c>
      <c r="J236" s="7" t="e">
        <f>ROUND(Table2[[#This Row],[Quantity]]*Table2[[#This Row],[Unit Price]]*VLOOKUP(#REF!,Table_1[#All],2,FALSE),0)</f>
        <v>#REF!</v>
      </c>
      <c r="K236" s="7">
        <f>Table2[[#This Row],[Quantity]]*Table2[[#This Row],[Unit Price]]</f>
        <v>4473</v>
      </c>
      <c r="L236" s="7" t="e">
        <f>Table2[[#This Row],[Sales Revenue]]-Table2[[#This Row],[Total Cost After Product Percentage Calc]]</f>
        <v>#REF!</v>
      </c>
    </row>
    <row r="237" spans="1:12" ht="14.25" customHeight="1" x14ac:dyDescent="0.3">
      <c r="A237" s="1">
        <v>7</v>
      </c>
      <c r="B237" s="1">
        <v>670</v>
      </c>
      <c r="C237" s="1" t="s">
        <v>20</v>
      </c>
      <c r="D237" s="1" t="s">
        <v>16</v>
      </c>
      <c r="E237" s="1" t="s">
        <v>30</v>
      </c>
      <c r="F237" t="e">
        <f>TEXT(#REF!,"YYY")</f>
        <v>#REF!</v>
      </c>
      <c r="G237" t="e">
        <f>TEXT(#REF!,"MMM")</f>
        <v>#REF!</v>
      </c>
      <c r="H237" t="e">
        <f>TEXT(#REF!,"DDD")</f>
        <v>#REF!</v>
      </c>
      <c r="I237" t="e">
        <f>DATEDIF(#REF!,#REF!,"D")</f>
        <v>#REF!</v>
      </c>
      <c r="J237" s="7" t="e">
        <f>ROUND(Table2[[#This Row],[Quantity]]*Table2[[#This Row],[Unit Price]]*VLOOKUP(#REF!,Table_1[#All],2,FALSE),0)</f>
        <v>#REF!</v>
      </c>
      <c r="K237" s="7">
        <f>Table2[[#This Row],[Quantity]]*Table2[[#This Row],[Unit Price]]</f>
        <v>4690</v>
      </c>
      <c r="L237" s="7" t="e">
        <f>Table2[[#This Row],[Sales Revenue]]-Table2[[#This Row],[Total Cost After Product Percentage Calc]]</f>
        <v>#REF!</v>
      </c>
    </row>
    <row r="238" spans="1:12" ht="14.25" customHeight="1" x14ac:dyDescent="0.3">
      <c r="A238" s="1">
        <v>5</v>
      </c>
      <c r="B238" s="1">
        <v>930</v>
      </c>
      <c r="C238" s="1" t="s">
        <v>20</v>
      </c>
      <c r="D238" s="1" t="s">
        <v>24</v>
      </c>
      <c r="E238" s="1" t="s">
        <v>14</v>
      </c>
      <c r="F238" t="e">
        <f>TEXT(#REF!,"YYY")</f>
        <v>#REF!</v>
      </c>
      <c r="G238" t="e">
        <f>TEXT(#REF!,"MMM")</f>
        <v>#REF!</v>
      </c>
      <c r="H238" t="e">
        <f>TEXT(#REF!,"DDD")</f>
        <v>#REF!</v>
      </c>
      <c r="I238" t="e">
        <f>DATEDIF(#REF!,#REF!,"D")</f>
        <v>#REF!</v>
      </c>
      <c r="J238" s="7" t="e">
        <f>ROUND(Table2[[#This Row],[Quantity]]*Table2[[#This Row],[Unit Price]]*VLOOKUP(#REF!,Table_1[#All],2,FALSE),0)</f>
        <v>#REF!</v>
      </c>
      <c r="K238" s="7">
        <f>Table2[[#This Row],[Quantity]]*Table2[[#This Row],[Unit Price]]</f>
        <v>4650</v>
      </c>
      <c r="L238" s="7" t="e">
        <f>Table2[[#This Row],[Sales Revenue]]-Table2[[#This Row],[Total Cost After Product Percentage Calc]]</f>
        <v>#REF!</v>
      </c>
    </row>
    <row r="239" spans="1:12" ht="14.25" customHeight="1" x14ac:dyDescent="0.3">
      <c r="A239" s="1">
        <v>1</v>
      </c>
      <c r="B239" s="1">
        <v>994</v>
      </c>
      <c r="C239" s="1" t="s">
        <v>10</v>
      </c>
      <c r="D239" s="1" t="s">
        <v>11</v>
      </c>
      <c r="E239" s="1" t="s">
        <v>12</v>
      </c>
      <c r="F239" t="e">
        <f>TEXT(#REF!,"YYY")</f>
        <v>#REF!</v>
      </c>
      <c r="G239" t="e">
        <f>TEXT(#REF!,"MMM")</f>
        <v>#REF!</v>
      </c>
      <c r="H239" t="e">
        <f>TEXT(#REF!,"DDD")</f>
        <v>#REF!</v>
      </c>
      <c r="I239" t="e">
        <f>DATEDIF(#REF!,#REF!,"D")</f>
        <v>#REF!</v>
      </c>
      <c r="J239" s="7" t="e">
        <f>ROUND(Table2[[#This Row],[Quantity]]*Table2[[#This Row],[Unit Price]]*VLOOKUP(#REF!,Table_1[#All],2,FALSE),0)</f>
        <v>#REF!</v>
      </c>
      <c r="K239" s="7">
        <f>Table2[[#This Row],[Quantity]]*Table2[[#This Row],[Unit Price]]</f>
        <v>994</v>
      </c>
      <c r="L239" s="7" t="e">
        <f>Table2[[#This Row],[Sales Revenue]]-Table2[[#This Row],[Total Cost After Product Percentage Calc]]</f>
        <v>#REF!</v>
      </c>
    </row>
    <row r="240" spans="1:12" ht="14.25" customHeight="1" x14ac:dyDescent="0.3">
      <c r="A240" s="1">
        <v>3</v>
      </c>
      <c r="B240" s="1">
        <v>819</v>
      </c>
      <c r="C240" s="1" t="s">
        <v>20</v>
      </c>
      <c r="D240" s="1" t="s">
        <v>24</v>
      </c>
      <c r="E240" s="1" t="s">
        <v>12</v>
      </c>
      <c r="F240" t="e">
        <f>TEXT(#REF!,"YYY")</f>
        <v>#REF!</v>
      </c>
      <c r="G240" t="e">
        <f>TEXT(#REF!,"MMM")</f>
        <v>#REF!</v>
      </c>
      <c r="H240" t="e">
        <f>TEXT(#REF!,"DDD")</f>
        <v>#REF!</v>
      </c>
      <c r="I240" t="e">
        <f>DATEDIF(#REF!,#REF!,"D")</f>
        <v>#REF!</v>
      </c>
      <c r="J240" s="7" t="e">
        <f>ROUND(Table2[[#This Row],[Quantity]]*Table2[[#This Row],[Unit Price]]*VLOOKUP(#REF!,Table_1[#All],2,FALSE),0)</f>
        <v>#REF!</v>
      </c>
      <c r="K240" s="7">
        <f>Table2[[#This Row],[Quantity]]*Table2[[#This Row],[Unit Price]]</f>
        <v>2457</v>
      </c>
      <c r="L240" s="7" t="e">
        <f>Table2[[#This Row],[Sales Revenue]]-Table2[[#This Row],[Total Cost After Product Percentage Calc]]</f>
        <v>#REF!</v>
      </c>
    </row>
    <row r="241" spans="1:12" ht="14.25" customHeight="1" x14ac:dyDescent="0.3">
      <c r="A241" s="1">
        <v>7</v>
      </c>
      <c r="B241" s="1">
        <v>802</v>
      </c>
      <c r="C241" s="1" t="s">
        <v>20</v>
      </c>
      <c r="D241" s="1" t="s">
        <v>31</v>
      </c>
      <c r="E241" s="1" t="s">
        <v>14</v>
      </c>
      <c r="F241" t="e">
        <f>TEXT(#REF!,"YYY")</f>
        <v>#REF!</v>
      </c>
      <c r="G241" t="e">
        <f>TEXT(#REF!,"MMM")</f>
        <v>#REF!</v>
      </c>
      <c r="H241" t="e">
        <f>TEXT(#REF!,"DDD")</f>
        <v>#REF!</v>
      </c>
      <c r="I241" t="e">
        <f>DATEDIF(#REF!,#REF!,"D")</f>
        <v>#REF!</v>
      </c>
      <c r="J241" s="7" t="e">
        <f>ROUND(Table2[[#This Row],[Quantity]]*Table2[[#This Row],[Unit Price]]*VLOOKUP(#REF!,Table_1[#All],2,FALSE),0)</f>
        <v>#REF!</v>
      </c>
      <c r="K241" s="7">
        <f>Table2[[#This Row],[Quantity]]*Table2[[#This Row],[Unit Price]]</f>
        <v>5614</v>
      </c>
      <c r="L241" s="7" t="e">
        <f>Table2[[#This Row],[Sales Revenue]]-Table2[[#This Row],[Total Cost After Product Percentage Calc]]</f>
        <v>#REF!</v>
      </c>
    </row>
    <row r="242" spans="1:12" ht="14.25" customHeight="1" x14ac:dyDescent="0.3">
      <c r="A242" s="1">
        <v>5</v>
      </c>
      <c r="B242" s="1">
        <v>167</v>
      </c>
      <c r="C242" s="1" t="s">
        <v>20</v>
      </c>
      <c r="D242" s="1" t="s">
        <v>21</v>
      </c>
      <c r="E242" s="1" t="s">
        <v>22</v>
      </c>
      <c r="F242" t="e">
        <f>TEXT(#REF!,"YYY")</f>
        <v>#REF!</v>
      </c>
      <c r="G242" t="e">
        <f>TEXT(#REF!,"MMM")</f>
        <v>#REF!</v>
      </c>
      <c r="H242" t="e">
        <f>TEXT(#REF!,"DDD")</f>
        <v>#REF!</v>
      </c>
      <c r="I242" t="e">
        <f>DATEDIF(#REF!,#REF!,"D")</f>
        <v>#REF!</v>
      </c>
      <c r="J242" s="7" t="e">
        <f>ROUND(Table2[[#This Row],[Quantity]]*Table2[[#This Row],[Unit Price]]*VLOOKUP(#REF!,Table_1[#All],2,FALSE),0)</f>
        <v>#REF!</v>
      </c>
      <c r="K242" s="7">
        <f>Table2[[#This Row],[Quantity]]*Table2[[#This Row],[Unit Price]]</f>
        <v>835</v>
      </c>
      <c r="L242" s="7" t="e">
        <f>Table2[[#This Row],[Sales Revenue]]-Table2[[#This Row],[Total Cost After Product Percentage Calc]]</f>
        <v>#REF!</v>
      </c>
    </row>
    <row r="243" spans="1:12" ht="14.25" customHeight="1" x14ac:dyDescent="0.3">
      <c r="A243" s="1">
        <v>10</v>
      </c>
      <c r="B243" s="1">
        <v>813</v>
      </c>
      <c r="C243" s="1" t="s">
        <v>10</v>
      </c>
      <c r="D243" s="1" t="s">
        <v>31</v>
      </c>
      <c r="E243" s="1" t="s">
        <v>12</v>
      </c>
      <c r="F243" t="e">
        <f>TEXT(#REF!,"YYY")</f>
        <v>#REF!</v>
      </c>
      <c r="G243" t="e">
        <f>TEXT(#REF!,"MMM")</f>
        <v>#REF!</v>
      </c>
      <c r="H243" t="e">
        <f>TEXT(#REF!,"DDD")</f>
        <v>#REF!</v>
      </c>
      <c r="I243" t="e">
        <f>DATEDIF(#REF!,#REF!,"D")</f>
        <v>#REF!</v>
      </c>
      <c r="J243" s="7" t="e">
        <f>ROUND(Table2[[#This Row],[Quantity]]*Table2[[#This Row],[Unit Price]]*VLOOKUP(#REF!,Table_1[#All],2,FALSE),0)</f>
        <v>#REF!</v>
      </c>
      <c r="K243" s="7">
        <f>Table2[[#This Row],[Quantity]]*Table2[[#This Row],[Unit Price]]</f>
        <v>8130</v>
      </c>
      <c r="L243" s="7" t="e">
        <f>Table2[[#This Row],[Sales Revenue]]-Table2[[#This Row],[Total Cost After Product Percentage Calc]]</f>
        <v>#REF!</v>
      </c>
    </row>
    <row r="244" spans="1:12" ht="14.25" customHeight="1" x14ac:dyDescent="0.3">
      <c r="A244" s="1">
        <v>2</v>
      </c>
      <c r="B244" s="1">
        <v>752</v>
      </c>
      <c r="C244" s="1" t="s">
        <v>20</v>
      </c>
      <c r="D244" s="1" t="s">
        <v>24</v>
      </c>
      <c r="E244" s="1" t="s">
        <v>14</v>
      </c>
      <c r="F244" t="e">
        <f>TEXT(#REF!,"YYY")</f>
        <v>#REF!</v>
      </c>
      <c r="G244" t="e">
        <f>TEXT(#REF!,"MMM")</f>
        <v>#REF!</v>
      </c>
      <c r="H244" t="e">
        <f>TEXT(#REF!,"DDD")</f>
        <v>#REF!</v>
      </c>
      <c r="I244" t="e">
        <f>DATEDIF(#REF!,#REF!,"D")</f>
        <v>#REF!</v>
      </c>
      <c r="J244" s="7" t="e">
        <f>ROUND(Table2[[#This Row],[Quantity]]*Table2[[#This Row],[Unit Price]]*VLOOKUP(#REF!,Table_1[#All],2,FALSE),0)</f>
        <v>#REF!</v>
      </c>
      <c r="K244" s="7">
        <f>Table2[[#This Row],[Quantity]]*Table2[[#This Row],[Unit Price]]</f>
        <v>1504</v>
      </c>
      <c r="L244" s="7" t="e">
        <f>Table2[[#This Row],[Sales Revenue]]-Table2[[#This Row],[Total Cost After Product Percentage Calc]]</f>
        <v>#REF!</v>
      </c>
    </row>
    <row r="245" spans="1:12" ht="14.25" customHeight="1" x14ac:dyDescent="0.3">
      <c r="A245" s="1">
        <v>6</v>
      </c>
      <c r="B245" s="1">
        <v>267</v>
      </c>
      <c r="C245" s="1" t="s">
        <v>20</v>
      </c>
      <c r="D245" s="1" t="s">
        <v>46</v>
      </c>
      <c r="E245" s="1" t="s">
        <v>22</v>
      </c>
      <c r="F245" t="e">
        <f>TEXT(#REF!,"YYY")</f>
        <v>#REF!</v>
      </c>
      <c r="G245" t="e">
        <f>TEXT(#REF!,"MMM")</f>
        <v>#REF!</v>
      </c>
      <c r="H245" t="e">
        <f>TEXT(#REF!,"DDD")</f>
        <v>#REF!</v>
      </c>
      <c r="I245" t="e">
        <f>DATEDIF(#REF!,#REF!,"D")</f>
        <v>#REF!</v>
      </c>
      <c r="J245" s="7" t="e">
        <f>ROUND(Table2[[#This Row],[Quantity]]*Table2[[#This Row],[Unit Price]]*VLOOKUP(#REF!,Table_1[#All],2,FALSE),0)</f>
        <v>#REF!</v>
      </c>
      <c r="K245" s="7">
        <f>Table2[[#This Row],[Quantity]]*Table2[[#This Row],[Unit Price]]</f>
        <v>1602</v>
      </c>
      <c r="L245" s="7" t="e">
        <f>Table2[[#This Row],[Sales Revenue]]-Table2[[#This Row],[Total Cost After Product Percentage Calc]]</f>
        <v>#REF!</v>
      </c>
    </row>
    <row r="246" spans="1:12" ht="14.25" customHeight="1" x14ac:dyDescent="0.3">
      <c r="A246" s="1">
        <v>6</v>
      </c>
      <c r="B246" s="1">
        <v>460</v>
      </c>
      <c r="C246" s="1" t="s">
        <v>20</v>
      </c>
      <c r="D246" s="1" t="s">
        <v>31</v>
      </c>
      <c r="E246" s="1" t="s">
        <v>12</v>
      </c>
      <c r="F246" t="e">
        <f>TEXT(#REF!,"YYY")</f>
        <v>#REF!</v>
      </c>
      <c r="G246" t="e">
        <f>TEXT(#REF!,"MMM")</f>
        <v>#REF!</v>
      </c>
      <c r="H246" t="e">
        <f>TEXT(#REF!,"DDD")</f>
        <v>#REF!</v>
      </c>
      <c r="I246" t="e">
        <f>DATEDIF(#REF!,#REF!,"D")</f>
        <v>#REF!</v>
      </c>
      <c r="J246" s="7" t="e">
        <f>ROUND(Table2[[#This Row],[Quantity]]*Table2[[#This Row],[Unit Price]]*VLOOKUP(#REF!,Table_1[#All],2,FALSE),0)</f>
        <v>#REF!</v>
      </c>
      <c r="K246" s="7">
        <f>Table2[[#This Row],[Quantity]]*Table2[[#This Row],[Unit Price]]</f>
        <v>2760</v>
      </c>
      <c r="L246" s="7" t="e">
        <f>Table2[[#This Row],[Sales Revenue]]-Table2[[#This Row],[Total Cost After Product Percentage Calc]]</f>
        <v>#REF!</v>
      </c>
    </row>
    <row r="247" spans="1:12" ht="14.25" customHeight="1" x14ac:dyDescent="0.3">
      <c r="A247" s="1">
        <v>6</v>
      </c>
      <c r="B247" s="1">
        <v>308</v>
      </c>
      <c r="C247" s="1" t="s">
        <v>20</v>
      </c>
      <c r="D247" s="1" t="s">
        <v>47</v>
      </c>
      <c r="E247" s="1" t="s">
        <v>22</v>
      </c>
      <c r="F247" t="e">
        <f>TEXT(#REF!,"YYY")</f>
        <v>#REF!</v>
      </c>
      <c r="G247" t="e">
        <f>TEXT(#REF!,"MMM")</f>
        <v>#REF!</v>
      </c>
      <c r="H247" t="e">
        <f>TEXT(#REF!,"DDD")</f>
        <v>#REF!</v>
      </c>
      <c r="I247" t="e">
        <f>DATEDIF(#REF!,#REF!,"D")</f>
        <v>#REF!</v>
      </c>
      <c r="J247" s="7" t="e">
        <f>ROUND(Table2[[#This Row],[Quantity]]*Table2[[#This Row],[Unit Price]]*VLOOKUP(#REF!,Table_1[#All],2,FALSE),0)</f>
        <v>#REF!</v>
      </c>
      <c r="K247" s="7">
        <f>Table2[[#This Row],[Quantity]]*Table2[[#This Row],[Unit Price]]</f>
        <v>1848</v>
      </c>
      <c r="L247" s="7" t="e">
        <f>Table2[[#This Row],[Sales Revenue]]-Table2[[#This Row],[Total Cost After Product Percentage Calc]]</f>
        <v>#REF!</v>
      </c>
    </row>
    <row r="248" spans="1:12" ht="14.25" customHeight="1" x14ac:dyDescent="0.3">
      <c r="A248" s="1">
        <v>10</v>
      </c>
      <c r="B248" s="1">
        <v>568</v>
      </c>
      <c r="C248" s="1" t="s">
        <v>10</v>
      </c>
      <c r="D248" s="1" t="s">
        <v>46</v>
      </c>
      <c r="E248" s="1" t="s">
        <v>30</v>
      </c>
      <c r="F248" t="e">
        <f>TEXT(#REF!,"YYY")</f>
        <v>#REF!</v>
      </c>
      <c r="G248" t="e">
        <f>TEXT(#REF!,"MMM")</f>
        <v>#REF!</v>
      </c>
      <c r="H248" t="e">
        <f>TEXT(#REF!,"DDD")</f>
        <v>#REF!</v>
      </c>
      <c r="I248" t="e">
        <f>DATEDIF(#REF!,#REF!,"D")</f>
        <v>#REF!</v>
      </c>
      <c r="J248" s="7" t="e">
        <f>ROUND(Table2[[#This Row],[Quantity]]*Table2[[#This Row],[Unit Price]]*VLOOKUP(#REF!,Table_1[#All],2,FALSE),0)</f>
        <v>#REF!</v>
      </c>
      <c r="K248" s="7">
        <f>Table2[[#This Row],[Quantity]]*Table2[[#This Row],[Unit Price]]</f>
        <v>5680</v>
      </c>
      <c r="L248" s="7" t="e">
        <f>Table2[[#This Row],[Sales Revenue]]-Table2[[#This Row],[Total Cost After Product Percentage Calc]]</f>
        <v>#REF!</v>
      </c>
    </row>
    <row r="249" spans="1:12" ht="14.25" customHeight="1" x14ac:dyDescent="0.3">
      <c r="A249" s="1">
        <v>5</v>
      </c>
      <c r="B249" s="1">
        <v>257</v>
      </c>
      <c r="C249" s="1" t="s">
        <v>20</v>
      </c>
      <c r="D249" s="1" t="s">
        <v>31</v>
      </c>
      <c r="E249" s="1" t="s">
        <v>30</v>
      </c>
      <c r="F249" t="e">
        <f>TEXT(#REF!,"YYY")</f>
        <v>#REF!</v>
      </c>
      <c r="G249" t="e">
        <f>TEXT(#REF!,"MMM")</f>
        <v>#REF!</v>
      </c>
      <c r="H249" t="e">
        <f>TEXT(#REF!,"DDD")</f>
        <v>#REF!</v>
      </c>
      <c r="I249" t="e">
        <f>DATEDIF(#REF!,#REF!,"D")</f>
        <v>#REF!</v>
      </c>
      <c r="J249" s="7" t="e">
        <f>ROUND(Table2[[#This Row],[Quantity]]*Table2[[#This Row],[Unit Price]]*VLOOKUP(#REF!,Table_1[#All],2,FALSE),0)</f>
        <v>#REF!</v>
      </c>
      <c r="K249" s="7">
        <f>Table2[[#This Row],[Quantity]]*Table2[[#This Row],[Unit Price]]</f>
        <v>1285</v>
      </c>
      <c r="L249" s="7" t="e">
        <f>Table2[[#This Row],[Sales Revenue]]-Table2[[#This Row],[Total Cost After Product Percentage Calc]]</f>
        <v>#REF!</v>
      </c>
    </row>
    <row r="250" spans="1:12" ht="14.25" customHeight="1" x14ac:dyDescent="0.3">
      <c r="A250" s="1">
        <v>7</v>
      </c>
      <c r="B250" s="1">
        <v>566</v>
      </c>
      <c r="C250" s="1" t="s">
        <v>20</v>
      </c>
      <c r="D250" s="1" t="s">
        <v>46</v>
      </c>
      <c r="E250" s="1" t="s">
        <v>12</v>
      </c>
      <c r="F250" t="e">
        <f>TEXT(#REF!,"YYY")</f>
        <v>#REF!</v>
      </c>
      <c r="G250" t="e">
        <f>TEXT(#REF!,"MMM")</f>
        <v>#REF!</v>
      </c>
      <c r="H250" t="e">
        <f>TEXT(#REF!,"DDD")</f>
        <v>#REF!</v>
      </c>
      <c r="I250" t="e">
        <f>DATEDIF(#REF!,#REF!,"D")</f>
        <v>#REF!</v>
      </c>
      <c r="J250" s="7" t="e">
        <f>ROUND(Table2[[#This Row],[Quantity]]*Table2[[#This Row],[Unit Price]]*VLOOKUP(#REF!,Table_1[#All],2,FALSE),0)</f>
        <v>#REF!</v>
      </c>
      <c r="K250" s="7">
        <f>Table2[[#This Row],[Quantity]]*Table2[[#This Row],[Unit Price]]</f>
        <v>3962</v>
      </c>
      <c r="L250" s="7" t="e">
        <f>Table2[[#This Row],[Sales Revenue]]-Table2[[#This Row],[Total Cost After Product Percentage Calc]]</f>
        <v>#REF!</v>
      </c>
    </row>
    <row r="251" spans="1:12" ht="14.25" customHeight="1" x14ac:dyDescent="0.3">
      <c r="A251" s="1">
        <v>2</v>
      </c>
      <c r="B251" s="1">
        <v>121</v>
      </c>
      <c r="C251" s="1" t="s">
        <v>20</v>
      </c>
      <c r="D251" s="1" t="s">
        <v>16</v>
      </c>
      <c r="E251" s="1" t="s">
        <v>30</v>
      </c>
      <c r="F251" t="e">
        <f>TEXT(#REF!,"YYY")</f>
        <v>#REF!</v>
      </c>
      <c r="G251" t="e">
        <f>TEXT(#REF!,"MMM")</f>
        <v>#REF!</v>
      </c>
      <c r="H251" t="e">
        <f>TEXT(#REF!,"DDD")</f>
        <v>#REF!</v>
      </c>
      <c r="I251" t="e">
        <f>DATEDIF(#REF!,#REF!,"D")</f>
        <v>#REF!</v>
      </c>
      <c r="J251" s="7" t="e">
        <f>ROUND(Table2[[#This Row],[Quantity]]*Table2[[#This Row],[Unit Price]]*VLOOKUP(#REF!,Table_1[#All],2,FALSE),0)</f>
        <v>#REF!</v>
      </c>
      <c r="K251" s="7">
        <f>Table2[[#This Row],[Quantity]]*Table2[[#This Row],[Unit Price]]</f>
        <v>242</v>
      </c>
      <c r="L251" s="7" t="e">
        <f>Table2[[#This Row],[Sales Revenue]]-Table2[[#This Row],[Total Cost After Product Percentage Calc]]</f>
        <v>#REF!</v>
      </c>
    </row>
    <row r="252" spans="1:12" ht="14.25" customHeight="1" x14ac:dyDescent="0.3">
      <c r="A252" s="1">
        <v>2</v>
      </c>
      <c r="B252" s="1">
        <v>274</v>
      </c>
      <c r="C252" s="1" t="s">
        <v>20</v>
      </c>
      <c r="D252" s="1" t="s">
        <v>46</v>
      </c>
      <c r="E252" s="1" t="s">
        <v>14</v>
      </c>
      <c r="F252" t="e">
        <f>TEXT(#REF!,"YYY")</f>
        <v>#REF!</v>
      </c>
      <c r="G252" t="e">
        <f>TEXT(#REF!,"MMM")</f>
        <v>#REF!</v>
      </c>
      <c r="H252" t="e">
        <f>TEXT(#REF!,"DDD")</f>
        <v>#REF!</v>
      </c>
      <c r="I252" t="e">
        <f>DATEDIF(#REF!,#REF!,"D")</f>
        <v>#REF!</v>
      </c>
      <c r="J252" s="7" t="e">
        <f>ROUND(Table2[[#This Row],[Quantity]]*Table2[[#This Row],[Unit Price]]*VLOOKUP(#REF!,Table_1[#All],2,FALSE),0)</f>
        <v>#REF!</v>
      </c>
      <c r="K252" s="7">
        <f>Table2[[#This Row],[Quantity]]*Table2[[#This Row],[Unit Price]]</f>
        <v>548</v>
      </c>
      <c r="L252" s="7" t="e">
        <f>Table2[[#This Row],[Sales Revenue]]-Table2[[#This Row],[Total Cost After Product Percentage Calc]]</f>
        <v>#REF!</v>
      </c>
    </row>
    <row r="253" spans="1:12" ht="14.25" customHeight="1" x14ac:dyDescent="0.3">
      <c r="A253" s="1">
        <v>8</v>
      </c>
      <c r="B253" s="1">
        <v>336</v>
      </c>
      <c r="C253" s="1" t="s">
        <v>10</v>
      </c>
      <c r="D253" s="1" t="s">
        <v>46</v>
      </c>
      <c r="E253" s="1" t="s">
        <v>14</v>
      </c>
      <c r="F253" t="e">
        <f>TEXT(#REF!,"YYY")</f>
        <v>#REF!</v>
      </c>
      <c r="G253" t="e">
        <f>TEXT(#REF!,"MMM")</f>
        <v>#REF!</v>
      </c>
      <c r="H253" t="e">
        <f>TEXT(#REF!,"DDD")</f>
        <v>#REF!</v>
      </c>
      <c r="I253" t="e">
        <f>DATEDIF(#REF!,#REF!,"D")</f>
        <v>#REF!</v>
      </c>
      <c r="J253" s="7" t="e">
        <f>ROUND(Table2[[#This Row],[Quantity]]*Table2[[#This Row],[Unit Price]]*VLOOKUP(#REF!,Table_1[#All],2,FALSE),0)</f>
        <v>#REF!</v>
      </c>
      <c r="K253" s="7">
        <f>Table2[[#This Row],[Quantity]]*Table2[[#This Row],[Unit Price]]</f>
        <v>2688</v>
      </c>
      <c r="L253" s="7" t="e">
        <f>Table2[[#This Row],[Sales Revenue]]-Table2[[#This Row],[Total Cost After Product Percentage Calc]]</f>
        <v>#REF!</v>
      </c>
    </row>
    <row r="254" spans="1:12" ht="14.25" customHeight="1" x14ac:dyDescent="0.3">
      <c r="A254" s="1">
        <v>2</v>
      </c>
      <c r="B254" s="1">
        <v>703</v>
      </c>
      <c r="C254" s="1" t="s">
        <v>20</v>
      </c>
      <c r="D254" s="1" t="s">
        <v>16</v>
      </c>
      <c r="E254" s="1" t="s">
        <v>22</v>
      </c>
      <c r="F254" t="e">
        <f>TEXT(#REF!,"YYY")</f>
        <v>#REF!</v>
      </c>
      <c r="G254" t="e">
        <f>TEXT(#REF!,"MMM")</f>
        <v>#REF!</v>
      </c>
      <c r="H254" t="e">
        <f>TEXT(#REF!,"DDD")</f>
        <v>#REF!</v>
      </c>
      <c r="I254" t="e">
        <f>DATEDIF(#REF!,#REF!,"D")</f>
        <v>#REF!</v>
      </c>
      <c r="J254" s="7" t="e">
        <f>ROUND(Table2[[#This Row],[Quantity]]*Table2[[#This Row],[Unit Price]]*VLOOKUP(#REF!,Table_1[#All],2,FALSE),0)</f>
        <v>#REF!</v>
      </c>
      <c r="K254" s="7">
        <f>Table2[[#This Row],[Quantity]]*Table2[[#This Row],[Unit Price]]</f>
        <v>1406</v>
      </c>
      <c r="L254" s="7" t="e">
        <f>Table2[[#This Row],[Sales Revenue]]-Table2[[#This Row],[Total Cost After Product Percentage Calc]]</f>
        <v>#REF!</v>
      </c>
    </row>
    <row r="255" spans="1:12" ht="14.25" customHeight="1" x14ac:dyDescent="0.3">
      <c r="A255" s="1">
        <v>8</v>
      </c>
      <c r="B255" s="1">
        <v>616</v>
      </c>
      <c r="C255" s="1" t="s">
        <v>10</v>
      </c>
      <c r="D255" s="1" t="s">
        <v>21</v>
      </c>
      <c r="E255" s="1" t="s">
        <v>22</v>
      </c>
      <c r="F255" t="e">
        <f>TEXT(#REF!,"YYY")</f>
        <v>#REF!</v>
      </c>
      <c r="G255" t="e">
        <f>TEXT(#REF!,"MMM")</f>
        <v>#REF!</v>
      </c>
      <c r="H255" t="e">
        <f>TEXT(#REF!,"DDD")</f>
        <v>#REF!</v>
      </c>
      <c r="I255" t="e">
        <f>DATEDIF(#REF!,#REF!,"D")</f>
        <v>#REF!</v>
      </c>
      <c r="J255" s="7" t="e">
        <f>ROUND(Table2[[#This Row],[Quantity]]*Table2[[#This Row],[Unit Price]]*VLOOKUP(#REF!,Table_1[#All],2,FALSE),0)</f>
        <v>#REF!</v>
      </c>
      <c r="K255" s="7">
        <f>Table2[[#This Row],[Quantity]]*Table2[[#This Row],[Unit Price]]</f>
        <v>4928</v>
      </c>
      <c r="L255" s="7" t="e">
        <f>Table2[[#This Row],[Sales Revenue]]-Table2[[#This Row],[Total Cost After Product Percentage Calc]]</f>
        <v>#REF!</v>
      </c>
    </row>
    <row r="256" spans="1:12" ht="14.25" customHeight="1" x14ac:dyDescent="0.3">
      <c r="A256" s="1">
        <v>2</v>
      </c>
      <c r="B256" s="1">
        <v>601</v>
      </c>
      <c r="C256" s="1" t="s">
        <v>10</v>
      </c>
      <c r="D256" s="1" t="s">
        <v>46</v>
      </c>
      <c r="E256" s="1" t="s">
        <v>14</v>
      </c>
      <c r="F256" t="e">
        <f>TEXT(#REF!,"YYY")</f>
        <v>#REF!</v>
      </c>
      <c r="G256" t="e">
        <f>TEXT(#REF!,"MMM")</f>
        <v>#REF!</v>
      </c>
      <c r="H256" t="e">
        <f>TEXT(#REF!,"DDD")</f>
        <v>#REF!</v>
      </c>
      <c r="I256" t="e">
        <f>DATEDIF(#REF!,#REF!,"D")</f>
        <v>#REF!</v>
      </c>
      <c r="J256" s="7" t="e">
        <f>ROUND(Table2[[#This Row],[Quantity]]*Table2[[#This Row],[Unit Price]]*VLOOKUP(#REF!,Table_1[#All],2,FALSE),0)</f>
        <v>#REF!</v>
      </c>
      <c r="K256" s="7">
        <f>Table2[[#This Row],[Quantity]]*Table2[[#This Row],[Unit Price]]</f>
        <v>1202</v>
      </c>
      <c r="L256" s="7" t="e">
        <f>Table2[[#This Row],[Sales Revenue]]-Table2[[#This Row],[Total Cost After Product Percentage Calc]]</f>
        <v>#REF!</v>
      </c>
    </row>
    <row r="257" spans="1:12" ht="14.25" customHeight="1" x14ac:dyDescent="0.3">
      <c r="A257" s="1">
        <v>8</v>
      </c>
      <c r="B257" s="1">
        <v>126</v>
      </c>
      <c r="C257" s="1" t="s">
        <v>20</v>
      </c>
      <c r="D257" s="1" t="s">
        <v>31</v>
      </c>
      <c r="E257" s="1" t="s">
        <v>12</v>
      </c>
      <c r="F257" t="e">
        <f>TEXT(#REF!,"YYY")</f>
        <v>#REF!</v>
      </c>
      <c r="G257" t="e">
        <f>TEXT(#REF!,"MMM")</f>
        <v>#REF!</v>
      </c>
      <c r="H257" t="e">
        <f>TEXT(#REF!,"DDD")</f>
        <v>#REF!</v>
      </c>
      <c r="I257" t="e">
        <f>DATEDIF(#REF!,#REF!,"D")</f>
        <v>#REF!</v>
      </c>
      <c r="J257" s="7" t="e">
        <f>ROUND(Table2[[#This Row],[Quantity]]*Table2[[#This Row],[Unit Price]]*VLOOKUP(#REF!,Table_1[#All],2,FALSE),0)</f>
        <v>#REF!</v>
      </c>
      <c r="K257" s="7">
        <f>Table2[[#This Row],[Quantity]]*Table2[[#This Row],[Unit Price]]</f>
        <v>1008</v>
      </c>
      <c r="L257" s="7" t="e">
        <f>Table2[[#This Row],[Sales Revenue]]-Table2[[#This Row],[Total Cost After Product Percentage Calc]]</f>
        <v>#REF!</v>
      </c>
    </row>
    <row r="258" spans="1:12" ht="14.25" customHeight="1" x14ac:dyDescent="0.3">
      <c r="A258" s="1">
        <v>3</v>
      </c>
      <c r="B258" s="1">
        <v>843</v>
      </c>
      <c r="C258" s="1" t="s">
        <v>20</v>
      </c>
      <c r="D258" s="1" t="s">
        <v>47</v>
      </c>
      <c r="E258" s="1" t="s">
        <v>14</v>
      </c>
      <c r="F258" t="e">
        <f>TEXT(#REF!,"YYY")</f>
        <v>#REF!</v>
      </c>
      <c r="G258" t="e">
        <f>TEXT(#REF!,"MMM")</f>
        <v>#REF!</v>
      </c>
      <c r="H258" t="e">
        <f>TEXT(#REF!,"DDD")</f>
        <v>#REF!</v>
      </c>
      <c r="I258" t="e">
        <f>DATEDIF(#REF!,#REF!,"D")</f>
        <v>#REF!</v>
      </c>
      <c r="J258" s="7" t="e">
        <f>ROUND(Table2[[#This Row],[Quantity]]*Table2[[#This Row],[Unit Price]]*VLOOKUP(#REF!,Table_1[#All],2,FALSE),0)</f>
        <v>#REF!</v>
      </c>
      <c r="K258" s="7">
        <f>Table2[[#This Row],[Quantity]]*Table2[[#This Row],[Unit Price]]</f>
        <v>2529</v>
      </c>
      <c r="L258" s="7" t="e">
        <f>Table2[[#This Row],[Sales Revenue]]-Table2[[#This Row],[Total Cost After Product Percentage Calc]]</f>
        <v>#REF!</v>
      </c>
    </row>
    <row r="259" spans="1:12" ht="14.25" customHeight="1" x14ac:dyDescent="0.3">
      <c r="A259" s="1">
        <v>3</v>
      </c>
      <c r="B259" s="1">
        <v>533</v>
      </c>
      <c r="C259" s="1" t="s">
        <v>20</v>
      </c>
      <c r="D259" s="1" t="s">
        <v>21</v>
      </c>
      <c r="E259" s="1" t="s">
        <v>14</v>
      </c>
      <c r="F259" t="e">
        <f>TEXT(#REF!,"YYY")</f>
        <v>#REF!</v>
      </c>
      <c r="G259" t="e">
        <f>TEXT(#REF!,"MMM")</f>
        <v>#REF!</v>
      </c>
      <c r="H259" t="e">
        <f>TEXT(#REF!,"DDD")</f>
        <v>#REF!</v>
      </c>
      <c r="I259" t="e">
        <f>DATEDIF(#REF!,#REF!,"D")</f>
        <v>#REF!</v>
      </c>
      <c r="J259" s="7" t="e">
        <f>ROUND(Table2[[#This Row],[Quantity]]*Table2[[#This Row],[Unit Price]]*VLOOKUP(#REF!,Table_1[#All],2,FALSE),0)</f>
        <v>#REF!</v>
      </c>
      <c r="K259" s="7">
        <f>Table2[[#This Row],[Quantity]]*Table2[[#This Row],[Unit Price]]</f>
        <v>1599</v>
      </c>
      <c r="L259" s="7" t="e">
        <f>Table2[[#This Row],[Sales Revenue]]-Table2[[#This Row],[Total Cost After Product Percentage Calc]]</f>
        <v>#REF!</v>
      </c>
    </row>
    <row r="260" spans="1:12" ht="14.25" customHeight="1" x14ac:dyDescent="0.3">
      <c r="A260" s="1">
        <v>7</v>
      </c>
      <c r="B260" s="1">
        <v>200</v>
      </c>
      <c r="C260" s="1" t="s">
        <v>20</v>
      </c>
      <c r="D260" s="1" t="s">
        <v>21</v>
      </c>
      <c r="E260" s="1" t="s">
        <v>30</v>
      </c>
      <c r="F260" t="e">
        <f>TEXT(#REF!,"YYY")</f>
        <v>#REF!</v>
      </c>
      <c r="G260" t="e">
        <f>TEXT(#REF!,"MMM")</f>
        <v>#REF!</v>
      </c>
      <c r="H260" t="e">
        <f>TEXT(#REF!,"DDD")</f>
        <v>#REF!</v>
      </c>
      <c r="I260" t="e">
        <f>DATEDIF(#REF!,#REF!,"D")</f>
        <v>#REF!</v>
      </c>
      <c r="J260" s="7" t="e">
        <f>ROUND(Table2[[#This Row],[Quantity]]*Table2[[#This Row],[Unit Price]]*VLOOKUP(#REF!,Table_1[#All],2,FALSE),0)</f>
        <v>#REF!</v>
      </c>
      <c r="K260" s="7">
        <f>Table2[[#This Row],[Quantity]]*Table2[[#This Row],[Unit Price]]</f>
        <v>1400</v>
      </c>
      <c r="L260" s="7" t="e">
        <f>Table2[[#This Row],[Sales Revenue]]-Table2[[#This Row],[Total Cost After Product Percentage Calc]]</f>
        <v>#REF!</v>
      </c>
    </row>
    <row r="261" spans="1:12" ht="14.25" customHeight="1" x14ac:dyDescent="0.3">
      <c r="A261" s="1">
        <v>6</v>
      </c>
      <c r="B261" s="1">
        <v>984</v>
      </c>
      <c r="C261" s="1" t="s">
        <v>10</v>
      </c>
      <c r="D261" s="1" t="s">
        <v>46</v>
      </c>
      <c r="E261" s="1" t="s">
        <v>30</v>
      </c>
      <c r="F261" t="e">
        <f>TEXT(#REF!,"YYY")</f>
        <v>#REF!</v>
      </c>
      <c r="G261" t="e">
        <f>TEXT(#REF!,"MMM")</f>
        <v>#REF!</v>
      </c>
      <c r="H261" t="e">
        <f>TEXT(#REF!,"DDD")</f>
        <v>#REF!</v>
      </c>
      <c r="I261" t="e">
        <f>DATEDIF(#REF!,#REF!,"D")</f>
        <v>#REF!</v>
      </c>
      <c r="J261" s="7" t="e">
        <f>ROUND(Table2[[#This Row],[Quantity]]*Table2[[#This Row],[Unit Price]]*VLOOKUP(#REF!,Table_1[#All],2,FALSE),0)</f>
        <v>#REF!</v>
      </c>
      <c r="K261" s="7">
        <f>Table2[[#This Row],[Quantity]]*Table2[[#This Row],[Unit Price]]</f>
        <v>5904</v>
      </c>
      <c r="L261" s="7" t="e">
        <f>Table2[[#This Row],[Sales Revenue]]-Table2[[#This Row],[Total Cost After Product Percentage Calc]]</f>
        <v>#REF!</v>
      </c>
    </row>
    <row r="262" spans="1:12" ht="14.25" customHeight="1" x14ac:dyDescent="0.3">
      <c r="A262" s="1">
        <v>9</v>
      </c>
      <c r="B262" s="1">
        <v>678</v>
      </c>
      <c r="C262" s="1" t="s">
        <v>20</v>
      </c>
      <c r="D262" s="1" t="s">
        <v>21</v>
      </c>
      <c r="E262" s="1" t="s">
        <v>30</v>
      </c>
      <c r="F262" t="e">
        <f>TEXT(#REF!,"YYY")</f>
        <v>#REF!</v>
      </c>
      <c r="G262" t="e">
        <f>TEXT(#REF!,"MMM")</f>
        <v>#REF!</v>
      </c>
      <c r="H262" t="e">
        <f>TEXT(#REF!,"DDD")</f>
        <v>#REF!</v>
      </c>
      <c r="I262" t="e">
        <f>DATEDIF(#REF!,#REF!,"D")</f>
        <v>#REF!</v>
      </c>
      <c r="J262" s="7" t="e">
        <f>ROUND(Table2[[#This Row],[Quantity]]*Table2[[#This Row],[Unit Price]]*VLOOKUP(#REF!,Table_1[#All],2,FALSE),0)</f>
        <v>#REF!</v>
      </c>
      <c r="K262" s="7">
        <f>Table2[[#This Row],[Quantity]]*Table2[[#This Row],[Unit Price]]</f>
        <v>6102</v>
      </c>
      <c r="L262" s="7" t="e">
        <f>Table2[[#This Row],[Sales Revenue]]-Table2[[#This Row],[Total Cost After Product Percentage Calc]]</f>
        <v>#REF!</v>
      </c>
    </row>
    <row r="263" spans="1:12" ht="14.25" customHeight="1" x14ac:dyDescent="0.3">
      <c r="A263" s="1">
        <v>8</v>
      </c>
      <c r="B263" s="1">
        <v>510</v>
      </c>
      <c r="C263" s="1" t="s">
        <v>20</v>
      </c>
      <c r="D263" s="1" t="s">
        <v>46</v>
      </c>
      <c r="E263" s="1" t="s">
        <v>12</v>
      </c>
      <c r="F263" t="e">
        <f>TEXT(#REF!,"YYY")</f>
        <v>#REF!</v>
      </c>
      <c r="G263" t="e">
        <f>TEXT(#REF!,"MMM")</f>
        <v>#REF!</v>
      </c>
      <c r="H263" t="e">
        <f>TEXT(#REF!,"DDD")</f>
        <v>#REF!</v>
      </c>
      <c r="I263" t="e">
        <f>DATEDIF(#REF!,#REF!,"D")</f>
        <v>#REF!</v>
      </c>
      <c r="J263" s="7" t="e">
        <f>ROUND(Table2[[#This Row],[Quantity]]*Table2[[#This Row],[Unit Price]]*VLOOKUP(#REF!,Table_1[#All],2,FALSE),0)</f>
        <v>#REF!</v>
      </c>
      <c r="K263" s="7">
        <f>Table2[[#This Row],[Quantity]]*Table2[[#This Row],[Unit Price]]</f>
        <v>4080</v>
      </c>
      <c r="L263" s="7" t="e">
        <f>Table2[[#This Row],[Sales Revenue]]-Table2[[#This Row],[Total Cost After Product Percentage Calc]]</f>
        <v>#REF!</v>
      </c>
    </row>
    <row r="264" spans="1:12" ht="14.25" customHeight="1" x14ac:dyDescent="0.3">
      <c r="A264" s="1">
        <v>8</v>
      </c>
      <c r="B264" s="1">
        <v>572</v>
      </c>
      <c r="C264" s="1" t="s">
        <v>20</v>
      </c>
      <c r="D264" s="1" t="s">
        <v>47</v>
      </c>
      <c r="E264" s="1" t="s">
        <v>30</v>
      </c>
      <c r="F264" t="e">
        <f>TEXT(#REF!,"YYY")</f>
        <v>#REF!</v>
      </c>
      <c r="G264" t="e">
        <f>TEXT(#REF!,"MMM")</f>
        <v>#REF!</v>
      </c>
      <c r="H264" t="e">
        <f>TEXT(#REF!,"DDD")</f>
        <v>#REF!</v>
      </c>
      <c r="I264" t="e">
        <f>DATEDIF(#REF!,#REF!,"D")</f>
        <v>#REF!</v>
      </c>
      <c r="J264" s="7" t="e">
        <f>ROUND(Table2[[#This Row],[Quantity]]*Table2[[#This Row],[Unit Price]]*VLOOKUP(#REF!,Table_1[#All],2,FALSE),0)</f>
        <v>#REF!</v>
      </c>
      <c r="K264" s="7">
        <f>Table2[[#This Row],[Quantity]]*Table2[[#This Row],[Unit Price]]</f>
        <v>4576</v>
      </c>
      <c r="L264" s="7" t="e">
        <f>Table2[[#This Row],[Sales Revenue]]-Table2[[#This Row],[Total Cost After Product Percentage Calc]]</f>
        <v>#REF!</v>
      </c>
    </row>
    <row r="265" spans="1:12" ht="14.25" customHeight="1" x14ac:dyDescent="0.3">
      <c r="A265" s="1">
        <v>6</v>
      </c>
      <c r="B265" s="1">
        <v>565</v>
      </c>
      <c r="C265" s="1" t="s">
        <v>20</v>
      </c>
      <c r="D265" s="1" t="s">
        <v>16</v>
      </c>
      <c r="E265" s="1" t="s">
        <v>30</v>
      </c>
      <c r="F265" t="e">
        <f>TEXT(#REF!,"YYY")</f>
        <v>#REF!</v>
      </c>
      <c r="G265" t="e">
        <f>TEXT(#REF!,"MMM")</f>
        <v>#REF!</v>
      </c>
      <c r="H265" t="e">
        <f>TEXT(#REF!,"DDD")</f>
        <v>#REF!</v>
      </c>
      <c r="I265" t="e">
        <f>DATEDIF(#REF!,#REF!,"D")</f>
        <v>#REF!</v>
      </c>
      <c r="J265" s="7" t="e">
        <f>ROUND(Table2[[#This Row],[Quantity]]*Table2[[#This Row],[Unit Price]]*VLOOKUP(#REF!,Table_1[#All],2,FALSE),0)</f>
        <v>#REF!</v>
      </c>
      <c r="K265" s="7">
        <f>Table2[[#This Row],[Quantity]]*Table2[[#This Row],[Unit Price]]</f>
        <v>3390</v>
      </c>
      <c r="L265" s="7" t="e">
        <f>Table2[[#This Row],[Sales Revenue]]-Table2[[#This Row],[Total Cost After Product Percentage Calc]]</f>
        <v>#REF!</v>
      </c>
    </row>
    <row r="266" spans="1:12" ht="14.25" customHeight="1" x14ac:dyDescent="0.3">
      <c r="A266" s="1">
        <v>10</v>
      </c>
      <c r="B266" s="1">
        <v>715</v>
      </c>
      <c r="C266" s="1" t="s">
        <v>20</v>
      </c>
      <c r="D266" s="1" t="s">
        <v>31</v>
      </c>
      <c r="E266" s="1" t="s">
        <v>22</v>
      </c>
      <c r="F266" t="e">
        <f>TEXT(#REF!,"YYY")</f>
        <v>#REF!</v>
      </c>
      <c r="G266" t="e">
        <f>TEXT(#REF!,"MMM")</f>
        <v>#REF!</v>
      </c>
      <c r="H266" t="e">
        <f>TEXT(#REF!,"DDD")</f>
        <v>#REF!</v>
      </c>
      <c r="I266" t="e">
        <f>DATEDIF(#REF!,#REF!,"D")</f>
        <v>#REF!</v>
      </c>
      <c r="J266" s="7" t="e">
        <f>ROUND(Table2[[#This Row],[Quantity]]*Table2[[#This Row],[Unit Price]]*VLOOKUP(#REF!,Table_1[#All],2,FALSE),0)</f>
        <v>#REF!</v>
      </c>
      <c r="K266" s="7">
        <f>Table2[[#This Row],[Quantity]]*Table2[[#This Row],[Unit Price]]</f>
        <v>7150</v>
      </c>
      <c r="L266" s="7" t="e">
        <f>Table2[[#This Row],[Sales Revenue]]-Table2[[#This Row],[Total Cost After Product Percentage Calc]]</f>
        <v>#REF!</v>
      </c>
    </row>
    <row r="267" spans="1:12" ht="14.25" customHeight="1" x14ac:dyDescent="0.3">
      <c r="A267" s="1">
        <v>3</v>
      </c>
      <c r="B267" s="1">
        <v>813</v>
      </c>
      <c r="C267" s="1" t="s">
        <v>10</v>
      </c>
      <c r="D267" s="1" t="s">
        <v>46</v>
      </c>
      <c r="E267" s="1" t="s">
        <v>12</v>
      </c>
      <c r="F267" t="e">
        <f>TEXT(#REF!,"YYY")</f>
        <v>#REF!</v>
      </c>
      <c r="G267" t="e">
        <f>TEXT(#REF!,"MMM")</f>
        <v>#REF!</v>
      </c>
      <c r="H267" t="e">
        <f>TEXT(#REF!,"DDD")</f>
        <v>#REF!</v>
      </c>
      <c r="I267" t="e">
        <f>DATEDIF(#REF!,#REF!,"D")</f>
        <v>#REF!</v>
      </c>
      <c r="J267" s="7" t="e">
        <f>ROUND(Table2[[#This Row],[Quantity]]*Table2[[#This Row],[Unit Price]]*VLOOKUP(#REF!,Table_1[#All],2,FALSE),0)</f>
        <v>#REF!</v>
      </c>
      <c r="K267" s="7">
        <f>Table2[[#This Row],[Quantity]]*Table2[[#This Row],[Unit Price]]</f>
        <v>2439</v>
      </c>
      <c r="L267" s="7" t="e">
        <f>Table2[[#This Row],[Sales Revenue]]-Table2[[#This Row],[Total Cost After Product Percentage Calc]]</f>
        <v>#REF!</v>
      </c>
    </row>
    <row r="268" spans="1:12" ht="14.25" customHeight="1" x14ac:dyDescent="0.3">
      <c r="A268" s="1">
        <v>5</v>
      </c>
      <c r="B268" s="1">
        <v>985</v>
      </c>
      <c r="C268" s="1" t="s">
        <v>20</v>
      </c>
      <c r="D268" s="1" t="s">
        <v>16</v>
      </c>
      <c r="E268" s="1" t="s">
        <v>30</v>
      </c>
      <c r="F268" t="e">
        <f>TEXT(#REF!,"YYY")</f>
        <v>#REF!</v>
      </c>
      <c r="G268" t="e">
        <f>TEXT(#REF!,"MMM")</f>
        <v>#REF!</v>
      </c>
      <c r="H268" t="e">
        <f>TEXT(#REF!,"DDD")</f>
        <v>#REF!</v>
      </c>
      <c r="I268" t="e">
        <f>DATEDIF(#REF!,#REF!,"D")</f>
        <v>#REF!</v>
      </c>
      <c r="J268" s="7" t="e">
        <f>ROUND(Table2[[#This Row],[Quantity]]*Table2[[#This Row],[Unit Price]]*VLOOKUP(#REF!,Table_1[#All],2,FALSE),0)</f>
        <v>#REF!</v>
      </c>
      <c r="K268" s="7">
        <f>Table2[[#This Row],[Quantity]]*Table2[[#This Row],[Unit Price]]</f>
        <v>4925</v>
      </c>
      <c r="L268" s="7" t="e">
        <f>Table2[[#This Row],[Sales Revenue]]-Table2[[#This Row],[Total Cost After Product Percentage Calc]]</f>
        <v>#REF!</v>
      </c>
    </row>
    <row r="269" spans="1:12" ht="14.25" customHeight="1" x14ac:dyDescent="0.3">
      <c r="A269" s="1">
        <v>1</v>
      </c>
      <c r="B269" s="1">
        <v>293</v>
      </c>
      <c r="C269" s="1" t="s">
        <v>20</v>
      </c>
      <c r="D269" s="1" t="s">
        <v>16</v>
      </c>
      <c r="E269" s="1" t="s">
        <v>14</v>
      </c>
      <c r="F269" t="e">
        <f>TEXT(#REF!,"YYY")</f>
        <v>#REF!</v>
      </c>
      <c r="G269" t="e">
        <f>TEXT(#REF!,"MMM")</f>
        <v>#REF!</v>
      </c>
      <c r="H269" t="e">
        <f>TEXT(#REF!,"DDD")</f>
        <v>#REF!</v>
      </c>
      <c r="I269" t="e">
        <f>DATEDIF(#REF!,#REF!,"D")</f>
        <v>#REF!</v>
      </c>
      <c r="J269" s="7" t="e">
        <f>ROUND(Table2[[#This Row],[Quantity]]*Table2[[#This Row],[Unit Price]]*VLOOKUP(#REF!,Table_1[#All],2,FALSE),0)</f>
        <v>#REF!</v>
      </c>
      <c r="K269" s="7">
        <f>Table2[[#This Row],[Quantity]]*Table2[[#This Row],[Unit Price]]</f>
        <v>293</v>
      </c>
      <c r="L269" s="7" t="e">
        <f>Table2[[#This Row],[Sales Revenue]]-Table2[[#This Row],[Total Cost After Product Percentage Calc]]</f>
        <v>#REF!</v>
      </c>
    </row>
    <row r="270" spans="1:12" ht="14.25" customHeight="1" x14ac:dyDescent="0.3">
      <c r="A270" s="1">
        <v>1</v>
      </c>
      <c r="B270" s="1">
        <v>899</v>
      </c>
      <c r="C270" s="1" t="s">
        <v>20</v>
      </c>
      <c r="D270" s="1" t="s">
        <v>16</v>
      </c>
      <c r="E270" s="1" t="s">
        <v>30</v>
      </c>
      <c r="F270" t="e">
        <f>TEXT(#REF!,"YYY")</f>
        <v>#REF!</v>
      </c>
      <c r="G270" t="e">
        <f>TEXT(#REF!,"MMM")</f>
        <v>#REF!</v>
      </c>
      <c r="H270" t="e">
        <f>TEXT(#REF!,"DDD")</f>
        <v>#REF!</v>
      </c>
      <c r="I270" t="e">
        <f>DATEDIF(#REF!,#REF!,"D")</f>
        <v>#REF!</v>
      </c>
      <c r="J270" s="7" t="e">
        <f>ROUND(Table2[[#This Row],[Quantity]]*Table2[[#This Row],[Unit Price]]*VLOOKUP(#REF!,Table_1[#All],2,FALSE),0)</f>
        <v>#REF!</v>
      </c>
      <c r="K270" s="7">
        <f>Table2[[#This Row],[Quantity]]*Table2[[#This Row],[Unit Price]]</f>
        <v>899</v>
      </c>
      <c r="L270" s="7" t="e">
        <f>Table2[[#This Row],[Sales Revenue]]-Table2[[#This Row],[Total Cost After Product Percentage Calc]]</f>
        <v>#REF!</v>
      </c>
    </row>
    <row r="271" spans="1:12" ht="14.25" customHeight="1" x14ac:dyDescent="0.3">
      <c r="A271" s="1">
        <v>9</v>
      </c>
      <c r="B271" s="1">
        <v>417</v>
      </c>
      <c r="C271" s="1" t="s">
        <v>10</v>
      </c>
      <c r="D271" s="1" t="s">
        <v>46</v>
      </c>
      <c r="E271" s="1" t="s">
        <v>30</v>
      </c>
      <c r="F271" t="e">
        <f>TEXT(#REF!,"YYY")</f>
        <v>#REF!</v>
      </c>
      <c r="G271" t="e">
        <f>TEXT(#REF!,"MMM")</f>
        <v>#REF!</v>
      </c>
      <c r="H271" t="e">
        <f>TEXT(#REF!,"DDD")</f>
        <v>#REF!</v>
      </c>
      <c r="I271" t="e">
        <f>DATEDIF(#REF!,#REF!,"D")</f>
        <v>#REF!</v>
      </c>
      <c r="J271" s="7" t="e">
        <f>ROUND(Table2[[#This Row],[Quantity]]*Table2[[#This Row],[Unit Price]]*VLOOKUP(#REF!,Table_1[#All],2,FALSE),0)</f>
        <v>#REF!</v>
      </c>
      <c r="K271" s="7">
        <f>Table2[[#This Row],[Quantity]]*Table2[[#This Row],[Unit Price]]</f>
        <v>3753</v>
      </c>
      <c r="L271" s="7" t="e">
        <f>Table2[[#This Row],[Sales Revenue]]-Table2[[#This Row],[Total Cost After Product Percentage Calc]]</f>
        <v>#REF!</v>
      </c>
    </row>
    <row r="272" spans="1:12" ht="14.25" customHeight="1" x14ac:dyDescent="0.3">
      <c r="A272" s="1">
        <v>5</v>
      </c>
      <c r="B272" s="1">
        <v>355</v>
      </c>
      <c r="C272" s="1" t="s">
        <v>10</v>
      </c>
      <c r="D272" s="1" t="s">
        <v>47</v>
      </c>
      <c r="E272" s="1" t="s">
        <v>30</v>
      </c>
      <c r="F272" t="e">
        <f>TEXT(#REF!,"YYY")</f>
        <v>#REF!</v>
      </c>
      <c r="G272" t="e">
        <f>TEXT(#REF!,"MMM")</f>
        <v>#REF!</v>
      </c>
      <c r="H272" t="e">
        <f>TEXT(#REF!,"DDD")</f>
        <v>#REF!</v>
      </c>
      <c r="I272" t="e">
        <f>DATEDIF(#REF!,#REF!,"D")</f>
        <v>#REF!</v>
      </c>
      <c r="J272" s="7" t="e">
        <f>ROUND(Table2[[#This Row],[Quantity]]*Table2[[#This Row],[Unit Price]]*VLOOKUP(#REF!,Table_1[#All],2,FALSE),0)</f>
        <v>#REF!</v>
      </c>
      <c r="K272" s="7">
        <f>Table2[[#This Row],[Quantity]]*Table2[[#This Row],[Unit Price]]</f>
        <v>1775</v>
      </c>
      <c r="L272" s="7" t="e">
        <f>Table2[[#This Row],[Sales Revenue]]-Table2[[#This Row],[Total Cost After Product Percentage Calc]]</f>
        <v>#REF!</v>
      </c>
    </row>
    <row r="273" spans="1:12" ht="14.25" customHeight="1" x14ac:dyDescent="0.3">
      <c r="A273" s="1">
        <v>1</v>
      </c>
      <c r="B273" s="1">
        <v>57</v>
      </c>
      <c r="C273" s="1" t="s">
        <v>10</v>
      </c>
      <c r="D273" s="1" t="s">
        <v>46</v>
      </c>
      <c r="E273" s="1" t="s">
        <v>22</v>
      </c>
      <c r="F273" t="e">
        <f>TEXT(#REF!,"YYY")</f>
        <v>#REF!</v>
      </c>
      <c r="G273" t="e">
        <f>TEXT(#REF!,"MMM")</f>
        <v>#REF!</v>
      </c>
      <c r="H273" t="e">
        <f>TEXT(#REF!,"DDD")</f>
        <v>#REF!</v>
      </c>
      <c r="I273" t="e">
        <f>DATEDIF(#REF!,#REF!,"D")</f>
        <v>#REF!</v>
      </c>
      <c r="J273" s="7" t="e">
        <f>ROUND(Table2[[#This Row],[Quantity]]*Table2[[#This Row],[Unit Price]]*VLOOKUP(#REF!,Table_1[#All],2,FALSE),0)</f>
        <v>#REF!</v>
      </c>
      <c r="K273" s="7">
        <f>Table2[[#This Row],[Quantity]]*Table2[[#This Row],[Unit Price]]</f>
        <v>57</v>
      </c>
      <c r="L273" s="7" t="e">
        <f>Table2[[#This Row],[Sales Revenue]]-Table2[[#This Row],[Total Cost After Product Percentage Calc]]</f>
        <v>#REF!</v>
      </c>
    </row>
    <row r="274" spans="1:12" ht="14.25" customHeight="1" x14ac:dyDescent="0.3">
      <c r="A274" s="1">
        <v>8</v>
      </c>
      <c r="B274" s="1">
        <v>10</v>
      </c>
      <c r="C274" s="1" t="s">
        <v>20</v>
      </c>
      <c r="D274" s="1" t="s">
        <v>21</v>
      </c>
      <c r="E274" s="1" t="s">
        <v>14</v>
      </c>
      <c r="F274" t="e">
        <f>TEXT(#REF!,"YYY")</f>
        <v>#REF!</v>
      </c>
      <c r="G274" t="e">
        <f>TEXT(#REF!,"MMM")</f>
        <v>#REF!</v>
      </c>
      <c r="H274" t="e">
        <f>TEXT(#REF!,"DDD")</f>
        <v>#REF!</v>
      </c>
      <c r="I274" t="e">
        <f>DATEDIF(#REF!,#REF!,"D")</f>
        <v>#REF!</v>
      </c>
      <c r="J274" s="7" t="e">
        <f>ROUND(Table2[[#This Row],[Quantity]]*Table2[[#This Row],[Unit Price]]*VLOOKUP(#REF!,Table_1[#All],2,FALSE),0)</f>
        <v>#REF!</v>
      </c>
      <c r="K274" s="7">
        <f>Table2[[#This Row],[Quantity]]*Table2[[#This Row],[Unit Price]]</f>
        <v>80</v>
      </c>
      <c r="L274" s="7" t="e">
        <f>Table2[[#This Row],[Sales Revenue]]-Table2[[#This Row],[Total Cost After Product Percentage Calc]]</f>
        <v>#REF!</v>
      </c>
    </row>
    <row r="275" spans="1:12" ht="14.25" customHeight="1" x14ac:dyDescent="0.3">
      <c r="A275" s="1">
        <v>3</v>
      </c>
      <c r="B275" s="1">
        <v>63</v>
      </c>
      <c r="C275" s="1" t="s">
        <v>20</v>
      </c>
      <c r="D275" s="1" t="s">
        <v>21</v>
      </c>
      <c r="E275" s="1" t="s">
        <v>14</v>
      </c>
      <c r="F275" t="e">
        <f>TEXT(#REF!,"YYY")</f>
        <v>#REF!</v>
      </c>
      <c r="G275" t="e">
        <f>TEXT(#REF!,"MMM")</f>
        <v>#REF!</v>
      </c>
      <c r="H275" t="e">
        <f>TEXT(#REF!,"DDD")</f>
        <v>#REF!</v>
      </c>
      <c r="I275" t="e">
        <f>DATEDIF(#REF!,#REF!,"D")</f>
        <v>#REF!</v>
      </c>
      <c r="J275" s="7" t="e">
        <f>ROUND(Table2[[#This Row],[Quantity]]*Table2[[#This Row],[Unit Price]]*VLOOKUP(#REF!,Table_1[#All],2,FALSE),0)</f>
        <v>#REF!</v>
      </c>
      <c r="K275" s="7">
        <f>Table2[[#This Row],[Quantity]]*Table2[[#This Row],[Unit Price]]</f>
        <v>189</v>
      </c>
      <c r="L275" s="7" t="e">
        <f>Table2[[#This Row],[Sales Revenue]]-Table2[[#This Row],[Total Cost After Product Percentage Calc]]</f>
        <v>#REF!</v>
      </c>
    </row>
    <row r="276" spans="1:12" ht="14.25" customHeight="1" x14ac:dyDescent="0.3">
      <c r="A276" s="1">
        <v>2</v>
      </c>
      <c r="B276" s="1">
        <v>730</v>
      </c>
      <c r="C276" s="1" t="s">
        <v>10</v>
      </c>
      <c r="D276" s="1" t="s">
        <v>46</v>
      </c>
      <c r="E276" s="1" t="s">
        <v>14</v>
      </c>
      <c r="F276" t="e">
        <f>TEXT(#REF!,"YYY")</f>
        <v>#REF!</v>
      </c>
      <c r="G276" t="e">
        <f>TEXT(#REF!,"MMM")</f>
        <v>#REF!</v>
      </c>
      <c r="H276" t="e">
        <f>TEXT(#REF!,"DDD")</f>
        <v>#REF!</v>
      </c>
      <c r="I276" t="e">
        <f>DATEDIF(#REF!,#REF!,"D")</f>
        <v>#REF!</v>
      </c>
      <c r="J276" s="7" t="e">
        <f>ROUND(Table2[[#This Row],[Quantity]]*Table2[[#This Row],[Unit Price]]*VLOOKUP(#REF!,Table_1[#All],2,FALSE),0)</f>
        <v>#REF!</v>
      </c>
      <c r="K276" s="7">
        <f>Table2[[#This Row],[Quantity]]*Table2[[#This Row],[Unit Price]]</f>
        <v>1460</v>
      </c>
      <c r="L276" s="7" t="e">
        <f>Table2[[#This Row],[Sales Revenue]]-Table2[[#This Row],[Total Cost After Product Percentage Calc]]</f>
        <v>#REF!</v>
      </c>
    </row>
    <row r="277" spans="1:12" ht="14.25" customHeight="1" x14ac:dyDescent="0.3">
      <c r="A277" s="1">
        <v>10</v>
      </c>
      <c r="B277" s="1">
        <v>241</v>
      </c>
      <c r="C277" s="1" t="s">
        <v>10</v>
      </c>
      <c r="D277" s="1" t="s">
        <v>47</v>
      </c>
      <c r="E277" s="1" t="s">
        <v>14</v>
      </c>
      <c r="F277" t="e">
        <f>TEXT(#REF!,"YYY")</f>
        <v>#REF!</v>
      </c>
      <c r="G277" t="e">
        <f>TEXT(#REF!,"MMM")</f>
        <v>#REF!</v>
      </c>
      <c r="H277" t="e">
        <f>TEXT(#REF!,"DDD")</f>
        <v>#REF!</v>
      </c>
      <c r="I277" t="e">
        <f>DATEDIF(#REF!,#REF!,"D")</f>
        <v>#REF!</v>
      </c>
      <c r="J277" s="7" t="e">
        <f>ROUND(Table2[[#This Row],[Quantity]]*Table2[[#This Row],[Unit Price]]*VLOOKUP(#REF!,Table_1[#All],2,FALSE),0)</f>
        <v>#REF!</v>
      </c>
      <c r="K277" s="7">
        <f>Table2[[#This Row],[Quantity]]*Table2[[#This Row],[Unit Price]]</f>
        <v>2410</v>
      </c>
      <c r="L277" s="7" t="e">
        <f>Table2[[#This Row],[Sales Revenue]]-Table2[[#This Row],[Total Cost After Product Percentage Calc]]</f>
        <v>#REF!</v>
      </c>
    </row>
    <row r="278" spans="1:12" ht="14.25" customHeight="1" x14ac:dyDescent="0.3">
      <c r="A278" s="1">
        <v>7</v>
      </c>
      <c r="B278" s="1">
        <v>720</v>
      </c>
      <c r="C278" s="1" t="s">
        <v>10</v>
      </c>
      <c r="D278" s="1" t="s">
        <v>46</v>
      </c>
      <c r="E278" s="1" t="s">
        <v>14</v>
      </c>
      <c r="F278" t="e">
        <f>TEXT(#REF!,"YYY")</f>
        <v>#REF!</v>
      </c>
      <c r="G278" t="e">
        <f>TEXT(#REF!,"MMM")</f>
        <v>#REF!</v>
      </c>
      <c r="H278" t="e">
        <f>TEXT(#REF!,"DDD")</f>
        <v>#REF!</v>
      </c>
      <c r="I278" t="e">
        <f>DATEDIF(#REF!,#REF!,"D")</f>
        <v>#REF!</v>
      </c>
      <c r="J278" s="7" t="e">
        <f>ROUND(Table2[[#This Row],[Quantity]]*Table2[[#This Row],[Unit Price]]*VLOOKUP(#REF!,Table_1[#All],2,FALSE),0)</f>
        <v>#REF!</v>
      </c>
      <c r="K278" s="7">
        <f>Table2[[#This Row],[Quantity]]*Table2[[#This Row],[Unit Price]]</f>
        <v>5040</v>
      </c>
      <c r="L278" s="7" t="e">
        <f>Table2[[#This Row],[Sales Revenue]]-Table2[[#This Row],[Total Cost After Product Percentage Calc]]</f>
        <v>#REF!</v>
      </c>
    </row>
    <row r="279" spans="1:12" ht="14.25" customHeight="1" x14ac:dyDescent="0.3">
      <c r="A279" s="1">
        <v>3</v>
      </c>
      <c r="B279" s="1">
        <v>80</v>
      </c>
      <c r="C279" s="1" t="s">
        <v>10</v>
      </c>
      <c r="D279" s="1" t="s">
        <v>47</v>
      </c>
      <c r="E279" s="1" t="s">
        <v>30</v>
      </c>
      <c r="F279" t="e">
        <f>TEXT(#REF!,"YYY")</f>
        <v>#REF!</v>
      </c>
      <c r="G279" t="e">
        <f>TEXT(#REF!,"MMM")</f>
        <v>#REF!</v>
      </c>
      <c r="H279" t="e">
        <f>TEXT(#REF!,"DDD")</f>
        <v>#REF!</v>
      </c>
      <c r="I279" t="e">
        <f>DATEDIF(#REF!,#REF!,"D")</f>
        <v>#REF!</v>
      </c>
      <c r="J279" s="7" t="e">
        <f>ROUND(Table2[[#This Row],[Quantity]]*Table2[[#This Row],[Unit Price]]*VLOOKUP(#REF!,Table_1[#All],2,FALSE),0)</f>
        <v>#REF!</v>
      </c>
      <c r="K279" s="7">
        <f>Table2[[#This Row],[Quantity]]*Table2[[#This Row],[Unit Price]]</f>
        <v>240</v>
      </c>
      <c r="L279" s="7" t="e">
        <f>Table2[[#This Row],[Sales Revenue]]-Table2[[#This Row],[Total Cost After Product Percentage Calc]]</f>
        <v>#REF!</v>
      </c>
    </row>
    <row r="280" spans="1:12" ht="14.25" customHeight="1" x14ac:dyDescent="0.3">
      <c r="A280" s="1">
        <v>2</v>
      </c>
      <c r="B280" s="1">
        <v>928</v>
      </c>
      <c r="C280" s="1" t="s">
        <v>10</v>
      </c>
      <c r="D280" s="1" t="s">
        <v>46</v>
      </c>
      <c r="E280" s="1" t="s">
        <v>12</v>
      </c>
      <c r="F280" t="e">
        <f>TEXT(#REF!,"YYY")</f>
        <v>#REF!</v>
      </c>
      <c r="G280" t="e">
        <f>TEXT(#REF!,"MMM")</f>
        <v>#REF!</v>
      </c>
      <c r="H280" t="e">
        <f>TEXT(#REF!,"DDD")</f>
        <v>#REF!</v>
      </c>
      <c r="I280" t="e">
        <f>DATEDIF(#REF!,#REF!,"D")</f>
        <v>#REF!</v>
      </c>
      <c r="J280" s="7" t="e">
        <f>ROUND(Table2[[#This Row],[Quantity]]*Table2[[#This Row],[Unit Price]]*VLOOKUP(#REF!,Table_1[#All],2,FALSE),0)</f>
        <v>#REF!</v>
      </c>
      <c r="K280" s="7">
        <f>Table2[[#This Row],[Quantity]]*Table2[[#This Row],[Unit Price]]</f>
        <v>1856</v>
      </c>
      <c r="L280" s="7" t="e">
        <f>Table2[[#This Row],[Sales Revenue]]-Table2[[#This Row],[Total Cost After Product Percentage Calc]]</f>
        <v>#REF!</v>
      </c>
    </row>
    <row r="281" spans="1:12" ht="14.25" customHeight="1" x14ac:dyDescent="0.3">
      <c r="A281" s="1">
        <v>7</v>
      </c>
      <c r="B281" s="1">
        <v>332</v>
      </c>
      <c r="C281" s="1" t="s">
        <v>10</v>
      </c>
      <c r="D281" s="1" t="s">
        <v>16</v>
      </c>
      <c r="E281" s="1" t="s">
        <v>30</v>
      </c>
      <c r="F281" t="e">
        <f>TEXT(#REF!,"YYY")</f>
        <v>#REF!</v>
      </c>
      <c r="G281" t="e">
        <f>TEXT(#REF!,"MMM")</f>
        <v>#REF!</v>
      </c>
      <c r="H281" t="e">
        <f>TEXT(#REF!,"DDD")</f>
        <v>#REF!</v>
      </c>
      <c r="I281" t="e">
        <f>DATEDIF(#REF!,#REF!,"D")</f>
        <v>#REF!</v>
      </c>
      <c r="J281" s="7" t="e">
        <f>ROUND(Table2[[#This Row],[Quantity]]*Table2[[#This Row],[Unit Price]]*VLOOKUP(#REF!,Table_1[#All],2,FALSE),0)</f>
        <v>#REF!</v>
      </c>
      <c r="K281" s="7">
        <f>Table2[[#This Row],[Quantity]]*Table2[[#This Row],[Unit Price]]</f>
        <v>2324</v>
      </c>
      <c r="L281" s="7" t="e">
        <f>Table2[[#This Row],[Sales Revenue]]-Table2[[#This Row],[Total Cost After Product Percentage Calc]]</f>
        <v>#REF!</v>
      </c>
    </row>
    <row r="282" spans="1:12" ht="14.25" customHeight="1" x14ac:dyDescent="0.3">
      <c r="A282" s="1">
        <v>9</v>
      </c>
      <c r="B282" s="1">
        <v>631</v>
      </c>
      <c r="C282" s="1" t="s">
        <v>20</v>
      </c>
      <c r="D282" s="1" t="s">
        <v>47</v>
      </c>
      <c r="E282" s="1" t="s">
        <v>14</v>
      </c>
      <c r="F282" t="e">
        <f>TEXT(#REF!,"YYY")</f>
        <v>#REF!</v>
      </c>
      <c r="G282" t="e">
        <f>TEXT(#REF!,"MMM")</f>
        <v>#REF!</v>
      </c>
      <c r="H282" t="e">
        <f>TEXT(#REF!,"DDD")</f>
        <v>#REF!</v>
      </c>
      <c r="I282" t="e">
        <f>DATEDIF(#REF!,#REF!,"D")</f>
        <v>#REF!</v>
      </c>
      <c r="J282" s="7" t="e">
        <f>ROUND(Table2[[#This Row],[Quantity]]*Table2[[#This Row],[Unit Price]]*VLOOKUP(#REF!,Table_1[#All],2,FALSE),0)</f>
        <v>#REF!</v>
      </c>
      <c r="K282" s="7">
        <f>Table2[[#This Row],[Quantity]]*Table2[[#This Row],[Unit Price]]</f>
        <v>5679</v>
      </c>
      <c r="L282" s="7" t="e">
        <f>Table2[[#This Row],[Sales Revenue]]-Table2[[#This Row],[Total Cost After Product Percentage Calc]]</f>
        <v>#REF!</v>
      </c>
    </row>
    <row r="283" spans="1:12" ht="14.25" customHeight="1" x14ac:dyDescent="0.3">
      <c r="A283" s="1">
        <v>8</v>
      </c>
      <c r="B283" s="1">
        <v>663</v>
      </c>
      <c r="C283" s="1" t="s">
        <v>20</v>
      </c>
      <c r="D283" s="1" t="s">
        <v>47</v>
      </c>
      <c r="E283" s="1" t="s">
        <v>22</v>
      </c>
      <c r="F283" t="e">
        <f>TEXT(#REF!,"YYY")</f>
        <v>#REF!</v>
      </c>
      <c r="G283" t="e">
        <f>TEXT(#REF!,"MMM")</f>
        <v>#REF!</v>
      </c>
      <c r="H283" t="e">
        <f>TEXT(#REF!,"DDD")</f>
        <v>#REF!</v>
      </c>
      <c r="I283" t="e">
        <f>DATEDIF(#REF!,#REF!,"D")</f>
        <v>#REF!</v>
      </c>
      <c r="J283" s="7" t="e">
        <f>ROUND(Table2[[#This Row],[Quantity]]*Table2[[#This Row],[Unit Price]]*VLOOKUP(#REF!,Table_1[#All],2,FALSE),0)</f>
        <v>#REF!</v>
      </c>
      <c r="K283" s="7">
        <f>Table2[[#This Row],[Quantity]]*Table2[[#This Row],[Unit Price]]</f>
        <v>5304</v>
      </c>
      <c r="L283" s="7" t="e">
        <f>Table2[[#This Row],[Sales Revenue]]-Table2[[#This Row],[Total Cost After Product Percentage Calc]]</f>
        <v>#REF!</v>
      </c>
    </row>
    <row r="284" spans="1:12" ht="14.25" customHeight="1" x14ac:dyDescent="0.3">
      <c r="A284" s="1">
        <v>3</v>
      </c>
      <c r="B284" s="1">
        <v>791</v>
      </c>
      <c r="C284" s="1" t="s">
        <v>10</v>
      </c>
      <c r="D284" s="1" t="s">
        <v>21</v>
      </c>
      <c r="E284" s="1" t="s">
        <v>12</v>
      </c>
      <c r="F284" t="e">
        <f>TEXT(#REF!,"YYY")</f>
        <v>#REF!</v>
      </c>
      <c r="G284" t="e">
        <f>TEXT(#REF!,"MMM")</f>
        <v>#REF!</v>
      </c>
      <c r="H284" t="e">
        <f>TEXT(#REF!,"DDD")</f>
        <v>#REF!</v>
      </c>
      <c r="I284" t="e">
        <f>DATEDIF(#REF!,#REF!,"D")</f>
        <v>#REF!</v>
      </c>
      <c r="J284" s="7" t="e">
        <f>ROUND(Table2[[#This Row],[Quantity]]*Table2[[#This Row],[Unit Price]]*VLOOKUP(#REF!,Table_1[#All],2,FALSE),0)</f>
        <v>#REF!</v>
      </c>
      <c r="K284" s="7">
        <f>Table2[[#This Row],[Quantity]]*Table2[[#This Row],[Unit Price]]</f>
        <v>2373</v>
      </c>
      <c r="L284" s="7" t="e">
        <f>Table2[[#This Row],[Sales Revenue]]-Table2[[#This Row],[Total Cost After Product Percentage Calc]]</f>
        <v>#REF!</v>
      </c>
    </row>
    <row r="285" spans="1:12" ht="14.25" customHeight="1" x14ac:dyDescent="0.3">
      <c r="A285" s="1">
        <v>9</v>
      </c>
      <c r="B285" s="1">
        <v>795</v>
      </c>
      <c r="C285" s="1" t="s">
        <v>20</v>
      </c>
      <c r="D285" s="1" t="s">
        <v>21</v>
      </c>
      <c r="E285" s="1" t="s">
        <v>30</v>
      </c>
      <c r="F285" t="e">
        <f>TEXT(#REF!,"YYY")</f>
        <v>#REF!</v>
      </c>
      <c r="G285" t="e">
        <f>TEXT(#REF!,"MMM")</f>
        <v>#REF!</v>
      </c>
      <c r="H285" t="e">
        <f>TEXT(#REF!,"DDD")</f>
        <v>#REF!</v>
      </c>
      <c r="I285" t="e">
        <f>DATEDIF(#REF!,#REF!,"D")</f>
        <v>#REF!</v>
      </c>
      <c r="J285" s="7" t="e">
        <f>ROUND(Table2[[#This Row],[Quantity]]*Table2[[#This Row],[Unit Price]]*VLOOKUP(#REF!,Table_1[#All],2,FALSE),0)</f>
        <v>#REF!</v>
      </c>
      <c r="K285" s="7">
        <f>Table2[[#This Row],[Quantity]]*Table2[[#This Row],[Unit Price]]</f>
        <v>7155</v>
      </c>
      <c r="L285" s="7" t="e">
        <f>Table2[[#This Row],[Sales Revenue]]-Table2[[#This Row],[Total Cost After Product Percentage Calc]]</f>
        <v>#REF!</v>
      </c>
    </row>
    <row r="286" spans="1:12" ht="14.25" customHeight="1" x14ac:dyDescent="0.3">
      <c r="A286" s="1">
        <v>9</v>
      </c>
      <c r="B286" s="1">
        <v>953</v>
      </c>
      <c r="C286" s="1" t="s">
        <v>20</v>
      </c>
      <c r="D286" s="1" t="s">
        <v>46</v>
      </c>
      <c r="E286" s="1" t="s">
        <v>22</v>
      </c>
      <c r="F286" t="e">
        <f>TEXT(#REF!,"YYY")</f>
        <v>#REF!</v>
      </c>
      <c r="G286" t="e">
        <f>TEXT(#REF!,"MMM")</f>
        <v>#REF!</v>
      </c>
      <c r="H286" t="e">
        <f>TEXT(#REF!,"DDD")</f>
        <v>#REF!</v>
      </c>
      <c r="I286" t="e">
        <f>DATEDIF(#REF!,#REF!,"D")</f>
        <v>#REF!</v>
      </c>
      <c r="J286" s="7" t="e">
        <f>ROUND(Table2[[#This Row],[Quantity]]*Table2[[#This Row],[Unit Price]]*VLOOKUP(#REF!,Table_1[#All],2,FALSE),0)</f>
        <v>#REF!</v>
      </c>
      <c r="K286" s="7">
        <f>Table2[[#This Row],[Quantity]]*Table2[[#This Row],[Unit Price]]</f>
        <v>8577</v>
      </c>
      <c r="L286" s="7" t="e">
        <f>Table2[[#This Row],[Sales Revenue]]-Table2[[#This Row],[Total Cost After Product Percentage Calc]]</f>
        <v>#REF!</v>
      </c>
    </row>
    <row r="287" spans="1:12" ht="14.25" customHeight="1" x14ac:dyDescent="0.3">
      <c r="A287" s="1">
        <v>2</v>
      </c>
      <c r="B287" s="1">
        <v>327</v>
      </c>
      <c r="C287" s="1" t="s">
        <v>20</v>
      </c>
      <c r="D287" s="1" t="s">
        <v>47</v>
      </c>
      <c r="E287" s="1" t="s">
        <v>22</v>
      </c>
      <c r="F287" t="e">
        <f>TEXT(#REF!,"YYY")</f>
        <v>#REF!</v>
      </c>
      <c r="G287" t="e">
        <f>TEXT(#REF!,"MMM")</f>
        <v>#REF!</v>
      </c>
      <c r="H287" t="e">
        <f>TEXT(#REF!,"DDD")</f>
        <v>#REF!</v>
      </c>
      <c r="I287" t="e">
        <f>DATEDIF(#REF!,#REF!,"D")</f>
        <v>#REF!</v>
      </c>
      <c r="J287" s="7" t="e">
        <f>ROUND(Table2[[#This Row],[Quantity]]*Table2[[#This Row],[Unit Price]]*VLOOKUP(#REF!,Table_1[#All],2,FALSE),0)</f>
        <v>#REF!</v>
      </c>
      <c r="K287" s="7">
        <f>Table2[[#This Row],[Quantity]]*Table2[[#This Row],[Unit Price]]</f>
        <v>654</v>
      </c>
      <c r="L287" s="7" t="e">
        <f>Table2[[#This Row],[Sales Revenue]]-Table2[[#This Row],[Total Cost After Product Percentage Calc]]</f>
        <v>#REF!</v>
      </c>
    </row>
    <row r="288" spans="1:12" ht="14.25" customHeight="1" x14ac:dyDescent="0.3">
      <c r="A288" s="1">
        <v>5</v>
      </c>
      <c r="B288" s="1">
        <v>692</v>
      </c>
      <c r="C288" s="1" t="s">
        <v>10</v>
      </c>
      <c r="D288" s="1" t="s">
        <v>47</v>
      </c>
      <c r="E288" s="1" t="s">
        <v>14</v>
      </c>
      <c r="F288" t="e">
        <f>TEXT(#REF!,"YYY")</f>
        <v>#REF!</v>
      </c>
      <c r="G288" t="e">
        <f>TEXT(#REF!,"MMM")</f>
        <v>#REF!</v>
      </c>
      <c r="H288" t="e">
        <f>TEXT(#REF!,"DDD")</f>
        <v>#REF!</v>
      </c>
      <c r="I288" t="e">
        <f>DATEDIF(#REF!,#REF!,"D")</f>
        <v>#REF!</v>
      </c>
      <c r="J288" s="7" t="e">
        <f>ROUND(Table2[[#This Row],[Quantity]]*Table2[[#This Row],[Unit Price]]*VLOOKUP(#REF!,Table_1[#All],2,FALSE),0)</f>
        <v>#REF!</v>
      </c>
      <c r="K288" s="7">
        <f>Table2[[#This Row],[Quantity]]*Table2[[#This Row],[Unit Price]]</f>
        <v>3460</v>
      </c>
      <c r="L288" s="7" t="e">
        <f>Table2[[#This Row],[Sales Revenue]]-Table2[[#This Row],[Total Cost After Product Percentage Calc]]</f>
        <v>#REF!</v>
      </c>
    </row>
    <row r="289" spans="1:12" ht="14.25" customHeight="1" x14ac:dyDescent="0.3">
      <c r="A289" s="1">
        <v>1</v>
      </c>
      <c r="B289" s="1">
        <v>177</v>
      </c>
      <c r="C289" s="1" t="s">
        <v>20</v>
      </c>
      <c r="D289" s="1" t="s">
        <v>21</v>
      </c>
      <c r="E289" s="1" t="s">
        <v>14</v>
      </c>
      <c r="F289" t="e">
        <f>TEXT(#REF!,"YYY")</f>
        <v>#REF!</v>
      </c>
      <c r="G289" t="e">
        <f>TEXT(#REF!,"MMM")</f>
        <v>#REF!</v>
      </c>
      <c r="H289" t="e">
        <f>TEXT(#REF!,"DDD")</f>
        <v>#REF!</v>
      </c>
      <c r="I289" t="e">
        <f>DATEDIF(#REF!,#REF!,"D")</f>
        <v>#REF!</v>
      </c>
      <c r="J289" s="7" t="e">
        <f>ROUND(Table2[[#This Row],[Quantity]]*Table2[[#This Row],[Unit Price]]*VLOOKUP(#REF!,Table_1[#All],2,FALSE),0)</f>
        <v>#REF!</v>
      </c>
      <c r="K289" s="7">
        <f>Table2[[#This Row],[Quantity]]*Table2[[#This Row],[Unit Price]]</f>
        <v>177</v>
      </c>
      <c r="L289" s="7" t="e">
        <f>Table2[[#This Row],[Sales Revenue]]-Table2[[#This Row],[Total Cost After Product Percentage Calc]]</f>
        <v>#REF!</v>
      </c>
    </row>
    <row r="290" spans="1:12" ht="14.25" customHeight="1" x14ac:dyDescent="0.3">
      <c r="A290" s="1">
        <v>6</v>
      </c>
      <c r="B290" s="1">
        <v>139</v>
      </c>
      <c r="C290" s="1" t="s">
        <v>20</v>
      </c>
      <c r="D290" s="1" t="s">
        <v>47</v>
      </c>
      <c r="E290" s="1" t="s">
        <v>30</v>
      </c>
      <c r="F290" t="e">
        <f>TEXT(#REF!,"YYY")</f>
        <v>#REF!</v>
      </c>
      <c r="G290" t="e">
        <f>TEXT(#REF!,"MMM")</f>
        <v>#REF!</v>
      </c>
      <c r="H290" t="e">
        <f>TEXT(#REF!,"DDD")</f>
        <v>#REF!</v>
      </c>
      <c r="I290" t="e">
        <f>DATEDIF(#REF!,#REF!,"D")</f>
        <v>#REF!</v>
      </c>
      <c r="J290" s="7" t="e">
        <f>ROUND(Table2[[#This Row],[Quantity]]*Table2[[#This Row],[Unit Price]]*VLOOKUP(#REF!,Table_1[#All],2,FALSE),0)</f>
        <v>#REF!</v>
      </c>
      <c r="K290" s="7">
        <f>Table2[[#This Row],[Quantity]]*Table2[[#This Row],[Unit Price]]</f>
        <v>834</v>
      </c>
      <c r="L290" s="7" t="e">
        <f>Table2[[#This Row],[Sales Revenue]]-Table2[[#This Row],[Total Cost After Product Percentage Calc]]</f>
        <v>#REF!</v>
      </c>
    </row>
    <row r="291" spans="1:12" ht="14.25" customHeight="1" x14ac:dyDescent="0.3">
      <c r="A291" s="1">
        <v>3</v>
      </c>
      <c r="B291" s="1">
        <v>271</v>
      </c>
      <c r="C291" s="1" t="s">
        <v>20</v>
      </c>
      <c r="D291" s="1" t="s">
        <v>16</v>
      </c>
      <c r="E291" s="1" t="s">
        <v>12</v>
      </c>
      <c r="F291" t="e">
        <f>TEXT(#REF!,"YYY")</f>
        <v>#REF!</v>
      </c>
      <c r="G291" t="e">
        <f>TEXT(#REF!,"MMM")</f>
        <v>#REF!</v>
      </c>
      <c r="H291" t="e">
        <f>TEXT(#REF!,"DDD")</f>
        <v>#REF!</v>
      </c>
      <c r="I291" t="e">
        <f>DATEDIF(#REF!,#REF!,"D")</f>
        <v>#REF!</v>
      </c>
      <c r="J291" s="7" t="e">
        <f>ROUND(Table2[[#This Row],[Quantity]]*Table2[[#This Row],[Unit Price]]*VLOOKUP(#REF!,Table_1[#All],2,FALSE),0)</f>
        <v>#REF!</v>
      </c>
      <c r="K291" s="7">
        <f>Table2[[#This Row],[Quantity]]*Table2[[#This Row],[Unit Price]]</f>
        <v>813</v>
      </c>
      <c r="L291" s="7" t="e">
        <f>Table2[[#This Row],[Sales Revenue]]-Table2[[#This Row],[Total Cost After Product Percentage Calc]]</f>
        <v>#REF!</v>
      </c>
    </row>
    <row r="292" spans="1:12" ht="14.25" customHeight="1" x14ac:dyDescent="0.3">
      <c r="A292" s="1">
        <v>1</v>
      </c>
      <c r="B292" s="1">
        <v>55</v>
      </c>
      <c r="C292" s="1" t="s">
        <v>10</v>
      </c>
      <c r="D292" s="1" t="s">
        <v>16</v>
      </c>
      <c r="E292" s="1" t="s">
        <v>30</v>
      </c>
      <c r="F292" t="e">
        <f>TEXT(#REF!,"YYY")</f>
        <v>#REF!</v>
      </c>
      <c r="G292" t="e">
        <f>TEXT(#REF!,"MMM")</f>
        <v>#REF!</v>
      </c>
      <c r="H292" t="e">
        <f>TEXT(#REF!,"DDD")</f>
        <v>#REF!</v>
      </c>
      <c r="I292" t="e">
        <f>DATEDIF(#REF!,#REF!,"D")</f>
        <v>#REF!</v>
      </c>
      <c r="J292" s="7" t="e">
        <f>ROUND(Table2[[#This Row],[Quantity]]*Table2[[#This Row],[Unit Price]]*VLOOKUP(#REF!,Table_1[#All],2,FALSE),0)</f>
        <v>#REF!</v>
      </c>
      <c r="K292" s="7">
        <f>Table2[[#This Row],[Quantity]]*Table2[[#This Row],[Unit Price]]</f>
        <v>55</v>
      </c>
      <c r="L292" s="7" t="e">
        <f>Table2[[#This Row],[Sales Revenue]]-Table2[[#This Row],[Total Cost After Product Percentage Calc]]</f>
        <v>#REF!</v>
      </c>
    </row>
    <row r="293" spans="1:12" ht="14.25" customHeight="1" x14ac:dyDescent="0.3">
      <c r="A293" s="1">
        <v>7</v>
      </c>
      <c r="B293" s="1">
        <v>952</v>
      </c>
      <c r="C293" s="1" t="s">
        <v>10</v>
      </c>
      <c r="D293" s="1" t="s">
        <v>46</v>
      </c>
      <c r="E293" s="1" t="s">
        <v>12</v>
      </c>
      <c r="F293" t="e">
        <f>TEXT(#REF!,"YYY")</f>
        <v>#REF!</v>
      </c>
      <c r="G293" t="e">
        <f>TEXT(#REF!,"MMM")</f>
        <v>#REF!</v>
      </c>
      <c r="H293" t="e">
        <f>TEXT(#REF!,"DDD")</f>
        <v>#REF!</v>
      </c>
      <c r="I293" t="e">
        <f>DATEDIF(#REF!,#REF!,"D")</f>
        <v>#REF!</v>
      </c>
      <c r="J293" s="7" t="e">
        <f>ROUND(Table2[[#This Row],[Quantity]]*Table2[[#This Row],[Unit Price]]*VLOOKUP(#REF!,Table_1[#All],2,FALSE),0)</f>
        <v>#REF!</v>
      </c>
      <c r="K293" s="7">
        <f>Table2[[#This Row],[Quantity]]*Table2[[#This Row],[Unit Price]]</f>
        <v>6664</v>
      </c>
      <c r="L293" s="7" t="e">
        <f>Table2[[#This Row],[Sales Revenue]]-Table2[[#This Row],[Total Cost After Product Percentage Calc]]</f>
        <v>#REF!</v>
      </c>
    </row>
    <row r="294" spans="1:12" ht="14.25" customHeight="1" x14ac:dyDescent="0.3">
      <c r="A294" s="1">
        <v>2</v>
      </c>
      <c r="B294" s="1">
        <v>524</v>
      </c>
      <c r="C294" s="1" t="s">
        <v>10</v>
      </c>
      <c r="D294" s="1" t="s">
        <v>47</v>
      </c>
      <c r="E294" s="1" t="s">
        <v>14</v>
      </c>
      <c r="F294" t="e">
        <f>TEXT(#REF!,"YYY")</f>
        <v>#REF!</v>
      </c>
      <c r="G294" t="e">
        <f>TEXT(#REF!,"MMM")</f>
        <v>#REF!</v>
      </c>
      <c r="H294" t="e">
        <f>TEXT(#REF!,"DDD")</f>
        <v>#REF!</v>
      </c>
      <c r="I294" t="e">
        <f>DATEDIF(#REF!,#REF!,"D")</f>
        <v>#REF!</v>
      </c>
      <c r="J294" s="7" t="e">
        <f>ROUND(Table2[[#This Row],[Quantity]]*Table2[[#This Row],[Unit Price]]*VLOOKUP(#REF!,Table_1[#All],2,FALSE),0)</f>
        <v>#REF!</v>
      </c>
      <c r="K294" s="7">
        <f>Table2[[#This Row],[Quantity]]*Table2[[#This Row],[Unit Price]]</f>
        <v>1048</v>
      </c>
      <c r="L294" s="7" t="e">
        <f>Table2[[#This Row],[Sales Revenue]]-Table2[[#This Row],[Total Cost After Product Percentage Calc]]</f>
        <v>#REF!</v>
      </c>
    </row>
    <row r="295" spans="1:12" ht="14.25" customHeight="1" x14ac:dyDescent="0.3">
      <c r="A295" s="1">
        <v>3</v>
      </c>
      <c r="B295" s="1">
        <v>16</v>
      </c>
      <c r="C295" s="1" t="s">
        <v>10</v>
      </c>
      <c r="D295" s="1" t="s">
        <v>21</v>
      </c>
      <c r="E295" s="1" t="s">
        <v>22</v>
      </c>
      <c r="F295" t="e">
        <f>TEXT(#REF!,"YYY")</f>
        <v>#REF!</v>
      </c>
      <c r="G295" t="e">
        <f>TEXT(#REF!,"MMM")</f>
        <v>#REF!</v>
      </c>
      <c r="H295" t="e">
        <f>TEXT(#REF!,"DDD")</f>
        <v>#REF!</v>
      </c>
      <c r="I295" t="e">
        <f>DATEDIF(#REF!,#REF!,"D")</f>
        <v>#REF!</v>
      </c>
      <c r="J295" s="7" t="e">
        <f>ROUND(Table2[[#This Row],[Quantity]]*Table2[[#This Row],[Unit Price]]*VLOOKUP(#REF!,Table_1[#All],2,FALSE),0)</f>
        <v>#REF!</v>
      </c>
      <c r="K295" s="7">
        <f>Table2[[#This Row],[Quantity]]*Table2[[#This Row],[Unit Price]]</f>
        <v>48</v>
      </c>
      <c r="L295" s="7" t="e">
        <f>Table2[[#This Row],[Sales Revenue]]-Table2[[#This Row],[Total Cost After Product Percentage Calc]]</f>
        <v>#REF!</v>
      </c>
    </row>
    <row r="296" spans="1:12" ht="14.25" customHeight="1" x14ac:dyDescent="0.3">
      <c r="A296" s="1">
        <v>1</v>
      </c>
      <c r="B296" s="1">
        <v>983</v>
      </c>
      <c r="C296" s="1" t="s">
        <v>20</v>
      </c>
      <c r="D296" s="1" t="s">
        <v>31</v>
      </c>
      <c r="E296" s="1" t="s">
        <v>14</v>
      </c>
      <c r="F296" t="e">
        <f>TEXT(#REF!,"YYY")</f>
        <v>#REF!</v>
      </c>
      <c r="G296" t="e">
        <f>TEXT(#REF!,"MMM")</f>
        <v>#REF!</v>
      </c>
      <c r="H296" t="e">
        <f>TEXT(#REF!,"DDD")</f>
        <v>#REF!</v>
      </c>
      <c r="I296" t="e">
        <f>DATEDIF(#REF!,#REF!,"D")</f>
        <v>#REF!</v>
      </c>
      <c r="J296" s="7" t="e">
        <f>ROUND(Table2[[#This Row],[Quantity]]*Table2[[#This Row],[Unit Price]]*VLOOKUP(#REF!,Table_1[#All],2,FALSE),0)</f>
        <v>#REF!</v>
      </c>
      <c r="K296" s="7">
        <f>Table2[[#This Row],[Quantity]]*Table2[[#This Row],[Unit Price]]</f>
        <v>983</v>
      </c>
      <c r="L296" s="7" t="e">
        <f>Table2[[#This Row],[Sales Revenue]]-Table2[[#This Row],[Total Cost After Product Percentage Calc]]</f>
        <v>#REF!</v>
      </c>
    </row>
    <row r="297" spans="1:12" ht="14.25" customHeight="1" x14ac:dyDescent="0.3">
      <c r="A297" s="1">
        <v>5</v>
      </c>
      <c r="B297" s="1">
        <v>105</v>
      </c>
      <c r="C297" s="1" t="s">
        <v>20</v>
      </c>
      <c r="D297" s="1" t="s">
        <v>46</v>
      </c>
      <c r="E297" s="1" t="s">
        <v>22</v>
      </c>
      <c r="F297" t="e">
        <f>TEXT(#REF!,"YYY")</f>
        <v>#REF!</v>
      </c>
      <c r="G297" t="e">
        <f>TEXT(#REF!,"MMM")</f>
        <v>#REF!</v>
      </c>
      <c r="H297" t="e">
        <f>TEXT(#REF!,"DDD")</f>
        <v>#REF!</v>
      </c>
      <c r="I297" t="e">
        <f>DATEDIF(#REF!,#REF!,"D")</f>
        <v>#REF!</v>
      </c>
      <c r="J297" s="7" t="e">
        <f>ROUND(Table2[[#This Row],[Quantity]]*Table2[[#This Row],[Unit Price]]*VLOOKUP(#REF!,Table_1[#All],2,FALSE),0)</f>
        <v>#REF!</v>
      </c>
      <c r="K297" s="7">
        <f>Table2[[#This Row],[Quantity]]*Table2[[#This Row],[Unit Price]]</f>
        <v>525</v>
      </c>
      <c r="L297" s="7" t="e">
        <f>Table2[[#This Row],[Sales Revenue]]-Table2[[#This Row],[Total Cost After Product Percentage Calc]]</f>
        <v>#REF!</v>
      </c>
    </row>
    <row r="298" spans="1:12" ht="14.25" customHeight="1" x14ac:dyDescent="0.3">
      <c r="A298" s="1">
        <v>2</v>
      </c>
      <c r="B298" s="1">
        <v>604</v>
      </c>
      <c r="C298" s="1" t="s">
        <v>10</v>
      </c>
      <c r="D298" s="1" t="s">
        <v>46</v>
      </c>
      <c r="E298" s="1" t="s">
        <v>12</v>
      </c>
      <c r="F298" t="e">
        <f>TEXT(#REF!,"YYY")</f>
        <v>#REF!</v>
      </c>
      <c r="G298" t="e">
        <f>TEXT(#REF!,"MMM")</f>
        <v>#REF!</v>
      </c>
      <c r="H298" t="e">
        <f>TEXT(#REF!,"DDD")</f>
        <v>#REF!</v>
      </c>
      <c r="I298" t="e">
        <f>DATEDIF(#REF!,#REF!,"D")</f>
        <v>#REF!</v>
      </c>
      <c r="J298" s="7" t="e">
        <f>ROUND(Table2[[#This Row],[Quantity]]*Table2[[#This Row],[Unit Price]]*VLOOKUP(#REF!,Table_1[#All],2,FALSE),0)</f>
        <v>#REF!</v>
      </c>
      <c r="K298" s="7">
        <f>Table2[[#This Row],[Quantity]]*Table2[[#This Row],[Unit Price]]</f>
        <v>1208</v>
      </c>
      <c r="L298" s="7" t="e">
        <f>Table2[[#This Row],[Sales Revenue]]-Table2[[#This Row],[Total Cost After Product Percentage Calc]]</f>
        <v>#REF!</v>
      </c>
    </row>
    <row r="299" spans="1:12" ht="14.25" customHeight="1" x14ac:dyDescent="0.3">
      <c r="A299" s="1">
        <v>10</v>
      </c>
      <c r="B299" s="1">
        <v>73</v>
      </c>
      <c r="C299" s="1" t="s">
        <v>10</v>
      </c>
      <c r="D299" s="1" t="s">
        <v>21</v>
      </c>
      <c r="E299" s="1" t="s">
        <v>14</v>
      </c>
      <c r="F299" t="e">
        <f>TEXT(#REF!,"YYY")</f>
        <v>#REF!</v>
      </c>
      <c r="G299" t="e">
        <f>TEXT(#REF!,"MMM")</f>
        <v>#REF!</v>
      </c>
      <c r="H299" t="e">
        <f>TEXT(#REF!,"DDD")</f>
        <v>#REF!</v>
      </c>
      <c r="I299" t="e">
        <f>DATEDIF(#REF!,#REF!,"D")</f>
        <v>#REF!</v>
      </c>
      <c r="J299" s="7" t="e">
        <f>ROUND(Table2[[#This Row],[Quantity]]*Table2[[#This Row],[Unit Price]]*VLOOKUP(#REF!,Table_1[#All],2,FALSE),0)</f>
        <v>#REF!</v>
      </c>
      <c r="K299" s="7">
        <f>Table2[[#This Row],[Quantity]]*Table2[[#This Row],[Unit Price]]</f>
        <v>730</v>
      </c>
      <c r="L299" s="7" t="e">
        <f>Table2[[#This Row],[Sales Revenue]]-Table2[[#This Row],[Total Cost After Product Percentage Calc]]</f>
        <v>#REF!</v>
      </c>
    </row>
    <row r="300" spans="1:12" ht="14.25" customHeight="1" x14ac:dyDescent="0.3">
      <c r="A300" s="1">
        <v>2</v>
      </c>
      <c r="B300" s="1">
        <v>976</v>
      </c>
      <c r="C300" s="1" t="s">
        <v>20</v>
      </c>
      <c r="D300" s="1" t="s">
        <v>46</v>
      </c>
      <c r="E300" s="1" t="s">
        <v>30</v>
      </c>
      <c r="F300" t="e">
        <f>TEXT(#REF!,"YYY")</f>
        <v>#REF!</v>
      </c>
      <c r="G300" t="e">
        <f>TEXT(#REF!,"MMM")</f>
        <v>#REF!</v>
      </c>
      <c r="H300" t="e">
        <f>TEXT(#REF!,"DDD")</f>
        <v>#REF!</v>
      </c>
      <c r="I300" t="e">
        <f>DATEDIF(#REF!,#REF!,"D")</f>
        <v>#REF!</v>
      </c>
      <c r="J300" s="7" t="e">
        <f>ROUND(Table2[[#This Row],[Quantity]]*Table2[[#This Row],[Unit Price]]*VLOOKUP(#REF!,Table_1[#All],2,FALSE),0)</f>
        <v>#REF!</v>
      </c>
      <c r="K300" s="7">
        <f>Table2[[#This Row],[Quantity]]*Table2[[#This Row],[Unit Price]]</f>
        <v>1952</v>
      </c>
      <c r="L300" s="7" t="e">
        <f>Table2[[#This Row],[Sales Revenue]]-Table2[[#This Row],[Total Cost After Product Percentage Calc]]</f>
        <v>#REF!</v>
      </c>
    </row>
    <row r="301" spans="1:12" ht="14.25" customHeight="1" x14ac:dyDescent="0.3">
      <c r="A301" s="1">
        <v>5</v>
      </c>
      <c r="B301" s="1">
        <v>856</v>
      </c>
      <c r="C301" s="1" t="s">
        <v>10</v>
      </c>
      <c r="D301" s="1" t="s">
        <v>47</v>
      </c>
      <c r="E301" s="1" t="s">
        <v>14</v>
      </c>
      <c r="F301" t="e">
        <f>TEXT(#REF!,"YYY")</f>
        <v>#REF!</v>
      </c>
      <c r="G301" t="e">
        <f>TEXT(#REF!,"MMM")</f>
        <v>#REF!</v>
      </c>
      <c r="H301" t="e">
        <f>TEXT(#REF!,"DDD")</f>
        <v>#REF!</v>
      </c>
      <c r="I301" t="e">
        <f>DATEDIF(#REF!,#REF!,"D")</f>
        <v>#REF!</v>
      </c>
      <c r="J301" s="7" t="e">
        <f>ROUND(Table2[[#This Row],[Quantity]]*Table2[[#This Row],[Unit Price]]*VLOOKUP(#REF!,Table_1[#All],2,FALSE),0)</f>
        <v>#REF!</v>
      </c>
      <c r="K301" s="7">
        <f>Table2[[#This Row],[Quantity]]*Table2[[#This Row],[Unit Price]]</f>
        <v>4280</v>
      </c>
      <c r="L301" s="7" t="e">
        <f>Table2[[#This Row],[Sales Revenue]]-Table2[[#This Row],[Total Cost After Product Percentage Calc]]</f>
        <v>#REF!</v>
      </c>
    </row>
    <row r="302" spans="1:12" ht="14.25" customHeight="1" x14ac:dyDescent="0.3">
      <c r="A302" s="1">
        <v>5</v>
      </c>
      <c r="B302" s="1">
        <v>276</v>
      </c>
      <c r="C302" s="1" t="s">
        <v>10</v>
      </c>
      <c r="D302" s="1" t="s">
        <v>16</v>
      </c>
      <c r="E302" s="1" t="s">
        <v>30</v>
      </c>
      <c r="F302" t="e">
        <f>TEXT(#REF!,"YYY")</f>
        <v>#REF!</v>
      </c>
      <c r="G302" t="e">
        <f>TEXT(#REF!,"MMM")</f>
        <v>#REF!</v>
      </c>
      <c r="H302" t="e">
        <f>TEXT(#REF!,"DDD")</f>
        <v>#REF!</v>
      </c>
      <c r="I302" t="e">
        <f>DATEDIF(#REF!,#REF!,"D")</f>
        <v>#REF!</v>
      </c>
      <c r="J302" s="7" t="e">
        <f>ROUND(Table2[[#This Row],[Quantity]]*Table2[[#This Row],[Unit Price]]*VLOOKUP(#REF!,Table_1[#All],2,FALSE),0)</f>
        <v>#REF!</v>
      </c>
      <c r="K302" s="7">
        <f>Table2[[#This Row],[Quantity]]*Table2[[#This Row],[Unit Price]]</f>
        <v>1380</v>
      </c>
      <c r="L302" s="7" t="e">
        <f>Table2[[#This Row],[Sales Revenue]]-Table2[[#This Row],[Total Cost After Product Percentage Calc]]</f>
        <v>#REF!</v>
      </c>
    </row>
    <row r="303" spans="1:12" ht="14.25" customHeight="1" x14ac:dyDescent="0.3">
      <c r="A303" s="1">
        <v>9</v>
      </c>
      <c r="B303" s="1">
        <v>265</v>
      </c>
      <c r="C303" s="1" t="s">
        <v>10</v>
      </c>
      <c r="D303" s="1" t="s">
        <v>46</v>
      </c>
      <c r="E303" s="1" t="s">
        <v>22</v>
      </c>
      <c r="F303" t="e">
        <f>TEXT(#REF!,"YYY")</f>
        <v>#REF!</v>
      </c>
      <c r="G303" t="e">
        <f>TEXT(#REF!,"MMM")</f>
        <v>#REF!</v>
      </c>
      <c r="H303" t="e">
        <f>TEXT(#REF!,"DDD")</f>
        <v>#REF!</v>
      </c>
      <c r="I303" t="e">
        <f>DATEDIF(#REF!,#REF!,"D")</f>
        <v>#REF!</v>
      </c>
      <c r="J303" s="7" t="e">
        <f>ROUND(Table2[[#This Row],[Quantity]]*Table2[[#This Row],[Unit Price]]*VLOOKUP(#REF!,Table_1[#All],2,FALSE),0)</f>
        <v>#REF!</v>
      </c>
      <c r="K303" s="7">
        <f>Table2[[#This Row],[Quantity]]*Table2[[#This Row],[Unit Price]]</f>
        <v>2385</v>
      </c>
      <c r="L303" s="7" t="e">
        <f>Table2[[#This Row],[Sales Revenue]]-Table2[[#This Row],[Total Cost After Product Percentage Calc]]</f>
        <v>#REF!</v>
      </c>
    </row>
    <row r="304" spans="1:12" ht="14.25" customHeight="1" x14ac:dyDescent="0.3">
      <c r="A304" s="1">
        <v>1</v>
      </c>
      <c r="B304" s="1">
        <v>860</v>
      </c>
      <c r="C304" s="1" t="s">
        <v>10</v>
      </c>
      <c r="D304" s="1" t="s">
        <v>16</v>
      </c>
      <c r="E304" s="1" t="s">
        <v>14</v>
      </c>
      <c r="F304" t="e">
        <f>TEXT(#REF!,"YYY")</f>
        <v>#REF!</v>
      </c>
      <c r="G304" t="e">
        <f>TEXT(#REF!,"MMM")</f>
        <v>#REF!</v>
      </c>
      <c r="H304" t="e">
        <f>TEXT(#REF!,"DDD")</f>
        <v>#REF!</v>
      </c>
      <c r="I304" t="e">
        <f>DATEDIF(#REF!,#REF!,"D")</f>
        <v>#REF!</v>
      </c>
      <c r="J304" s="7" t="e">
        <f>ROUND(Table2[[#This Row],[Quantity]]*Table2[[#This Row],[Unit Price]]*VLOOKUP(#REF!,Table_1[#All],2,FALSE),0)</f>
        <v>#REF!</v>
      </c>
      <c r="K304" s="7">
        <f>Table2[[#This Row],[Quantity]]*Table2[[#This Row],[Unit Price]]</f>
        <v>860</v>
      </c>
      <c r="L304" s="7" t="e">
        <f>Table2[[#This Row],[Sales Revenue]]-Table2[[#This Row],[Total Cost After Product Percentage Calc]]</f>
        <v>#REF!</v>
      </c>
    </row>
    <row r="305" spans="1:12" ht="14.25" customHeight="1" x14ac:dyDescent="0.3">
      <c r="A305" s="1">
        <v>2</v>
      </c>
      <c r="B305" s="1">
        <v>606</v>
      </c>
      <c r="C305" s="1" t="s">
        <v>10</v>
      </c>
      <c r="D305" s="1" t="s">
        <v>47</v>
      </c>
      <c r="E305" s="1" t="s">
        <v>12</v>
      </c>
      <c r="F305" t="e">
        <f>TEXT(#REF!,"YYY")</f>
        <v>#REF!</v>
      </c>
      <c r="G305" t="e">
        <f>TEXT(#REF!,"MMM")</f>
        <v>#REF!</v>
      </c>
      <c r="H305" t="e">
        <f>TEXT(#REF!,"DDD")</f>
        <v>#REF!</v>
      </c>
      <c r="I305" t="e">
        <f>DATEDIF(#REF!,#REF!,"D")</f>
        <v>#REF!</v>
      </c>
      <c r="J305" s="7" t="e">
        <f>ROUND(Table2[[#This Row],[Quantity]]*Table2[[#This Row],[Unit Price]]*VLOOKUP(#REF!,Table_1[#All],2,FALSE),0)</f>
        <v>#REF!</v>
      </c>
      <c r="K305" s="7">
        <f>Table2[[#This Row],[Quantity]]*Table2[[#This Row],[Unit Price]]</f>
        <v>1212</v>
      </c>
      <c r="L305" s="7" t="e">
        <f>Table2[[#This Row],[Sales Revenue]]-Table2[[#This Row],[Total Cost After Product Percentage Calc]]</f>
        <v>#REF!</v>
      </c>
    </row>
    <row r="306" spans="1:12" ht="14.25" customHeight="1" x14ac:dyDescent="0.3">
      <c r="A306" s="1">
        <v>1</v>
      </c>
      <c r="B306" s="1">
        <v>182</v>
      </c>
      <c r="C306" s="1" t="s">
        <v>20</v>
      </c>
      <c r="D306" s="1" t="s">
        <v>47</v>
      </c>
      <c r="E306" s="1" t="s">
        <v>14</v>
      </c>
      <c r="F306" t="e">
        <f>TEXT(#REF!,"YYY")</f>
        <v>#REF!</v>
      </c>
      <c r="G306" t="e">
        <f>TEXT(#REF!,"MMM")</f>
        <v>#REF!</v>
      </c>
      <c r="H306" t="e">
        <f>TEXT(#REF!,"DDD")</f>
        <v>#REF!</v>
      </c>
      <c r="I306" t="e">
        <f>DATEDIF(#REF!,#REF!,"D")</f>
        <v>#REF!</v>
      </c>
      <c r="J306" s="7" t="e">
        <f>ROUND(Table2[[#This Row],[Quantity]]*Table2[[#This Row],[Unit Price]]*VLOOKUP(#REF!,Table_1[#All],2,FALSE),0)</f>
        <v>#REF!</v>
      </c>
      <c r="K306" s="7">
        <f>Table2[[#This Row],[Quantity]]*Table2[[#This Row],[Unit Price]]</f>
        <v>182</v>
      </c>
      <c r="L306" s="7" t="e">
        <f>Table2[[#This Row],[Sales Revenue]]-Table2[[#This Row],[Total Cost After Product Percentage Calc]]</f>
        <v>#REF!</v>
      </c>
    </row>
    <row r="307" spans="1:12" ht="14.25" customHeight="1" x14ac:dyDescent="0.3">
      <c r="A307" s="1">
        <v>6</v>
      </c>
      <c r="B307" s="1">
        <v>973</v>
      </c>
      <c r="C307" s="1" t="s">
        <v>10</v>
      </c>
      <c r="D307" s="1" t="s">
        <v>16</v>
      </c>
      <c r="E307" s="1" t="s">
        <v>12</v>
      </c>
      <c r="F307" t="e">
        <f>TEXT(#REF!,"YYY")</f>
        <v>#REF!</v>
      </c>
      <c r="G307" t="e">
        <f>TEXT(#REF!,"MMM")</f>
        <v>#REF!</v>
      </c>
      <c r="H307" t="e">
        <f>TEXT(#REF!,"DDD")</f>
        <v>#REF!</v>
      </c>
      <c r="I307" t="e">
        <f>DATEDIF(#REF!,#REF!,"D")</f>
        <v>#REF!</v>
      </c>
      <c r="J307" s="7" t="e">
        <f>ROUND(Table2[[#This Row],[Quantity]]*Table2[[#This Row],[Unit Price]]*VLOOKUP(#REF!,Table_1[#All],2,FALSE),0)</f>
        <v>#REF!</v>
      </c>
      <c r="K307" s="7">
        <f>Table2[[#This Row],[Quantity]]*Table2[[#This Row],[Unit Price]]</f>
        <v>5838</v>
      </c>
      <c r="L307" s="7" t="e">
        <f>Table2[[#This Row],[Sales Revenue]]-Table2[[#This Row],[Total Cost After Product Percentage Calc]]</f>
        <v>#REF!</v>
      </c>
    </row>
    <row r="308" spans="1:12" ht="14.25" customHeight="1" x14ac:dyDescent="0.3">
      <c r="A308" s="1">
        <v>2</v>
      </c>
      <c r="B308" s="1">
        <v>947</v>
      </c>
      <c r="C308" s="1" t="s">
        <v>10</v>
      </c>
      <c r="D308" s="1" t="s">
        <v>21</v>
      </c>
      <c r="E308" s="1" t="s">
        <v>12</v>
      </c>
      <c r="F308" t="e">
        <f>TEXT(#REF!,"YYY")</f>
        <v>#REF!</v>
      </c>
      <c r="G308" t="e">
        <f>TEXT(#REF!,"MMM")</f>
        <v>#REF!</v>
      </c>
      <c r="H308" t="e">
        <f>TEXT(#REF!,"DDD")</f>
        <v>#REF!</v>
      </c>
      <c r="I308" t="e">
        <f>DATEDIF(#REF!,#REF!,"D")</f>
        <v>#REF!</v>
      </c>
      <c r="J308" s="7" t="e">
        <f>ROUND(Table2[[#This Row],[Quantity]]*Table2[[#This Row],[Unit Price]]*VLOOKUP(#REF!,Table_1[#All],2,FALSE),0)</f>
        <v>#REF!</v>
      </c>
      <c r="K308" s="7">
        <f>Table2[[#This Row],[Quantity]]*Table2[[#This Row],[Unit Price]]</f>
        <v>1894</v>
      </c>
      <c r="L308" s="7" t="e">
        <f>Table2[[#This Row],[Sales Revenue]]-Table2[[#This Row],[Total Cost After Product Percentage Calc]]</f>
        <v>#REF!</v>
      </c>
    </row>
    <row r="309" spans="1:12" ht="14.25" customHeight="1" x14ac:dyDescent="0.3">
      <c r="A309" s="1">
        <v>1</v>
      </c>
      <c r="B309" s="1">
        <v>713</v>
      </c>
      <c r="C309" s="1" t="s">
        <v>20</v>
      </c>
      <c r="D309" s="1" t="s">
        <v>21</v>
      </c>
      <c r="E309" s="1" t="s">
        <v>14</v>
      </c>
      <c r="F309" t="e">
        <f>TEXT(#REF!,"YYY")</f>
        <v>#REF!</v>
      </c>
      <c r="G309" t="e">
        <f>TEXT(#REF!,"MMM")</f>
        <v>#REF!</v>
      </c>
      <c r="H309" t="e">
        <f>TEXT(#REF!,"DDD")</f>
        <v>#REF!</v>
      </c>
      <c r="I309" t="e">
        <f>DATEDIF(#REF!,#REF!,"D")</f>
        <v>#REF!</v>
      </c>
      <c r="J309" s="7" t="e">
        <f>ROUND(Table2[[#This Row],[Quantity]]*Table2[[#This Row],[Unit Price]]*VLOOKUP(#REF!,Table_1[#All],2,FALSE),0)</f>
        <v>#REF!</v>
      </c>
      <c r="K309" s="7">
        <f>Table2[[#This Row],[Quantity]]*Table2[[#This Row],[Unit Price]]</f>
        <v>713</v>
      </c>
      <c r="L309" s="7" t="e">
        <f>Table2[[#This Row],[Sales Revenue]]-Table2[[#This Row],[Total Cost After Product Percentage Calc]]</f>
        <v>#REF!</v>
      </c>
    </row>
    <row r="310" spans="1:12" ht="14.25" customHeight="1" x14ac:dyDescent="0.3">
      <c r="A310" s="1">
        <v>9</v>
      </c>
      <c r="B310" s="1">
        <v>692</v>
      </c>
      <c r="C310" s="1" t="s">
        <v>20</v>
      </c>
      <c r="D310" s="1" t="s">
        <v>16</v>
      </c>
      <c r="E310" s="1" t="s">
        <v>30</v>
      </c>
      <c r="F310" t="e">
        <f>TEXT(#REF!,"YYY")</f>
        <v>#REF!</v>
      </c>
      <c r="G310" t="e">
        <f>TEXT(#REF!,"MMM")</f>
        <v>#REF!</v>
      </c>
      <c r="H310" t="e">
        <f>TEXT(#REF!,"DDD")</f>
        <v>#REF!</v>
      </c>
      <c r="I310" t="e">
        <f>DATEDIF(#REF!,#REF!,"D")</f>
        <v>#REF!</v>
      </c>
      <c r="J310" s="7" t="e">
        <f>ROUND(Table2[[#This Row],[Quantity]]*Table2[[#This Row],[Unit Price]]*VLOOKUP(#REF!,Table_1[#All],2,FALSE),0)</f>
        <v>#REF!</v>
      </c>
      <c r="K310" s="7">
        <f>Table2[[#This Row],[Quantity]]*Table2[[#This Row],[Unit Price]]</f>
        <v>6228</v>
      </c>
      <c r="L310" s="7" t="e">
        <f>Table2[[#This Row],[Sales Revenue]]-Table2[[#This Row],[Total Cost After Product Percentage Calc]]</f>
        <v>#REF!</v>
      </c>
    </row>
    <row r="311" spans="1:12" ht="14.25" customHeight="1" x14ac:dyDescent="0.3">
      <c r="A311" s="1">
        <v>7</v>
      </c>
      <c r="B311" s="1">
        <v>305</v>
      </c>
      <c r="C311" s="1" t="s">
        <v>20</v>
      </c>
      <c r="D311" s="1" t="s">
        <v>24</v>
      </c>
      <c r="E311" s="1" t="s">
        <v>12</v>
      </c>
      <c r="F311" t="e">
        <f>TEXT(#REF!,"YYY")</f>
        <v>#REF!</v>
      </c>
      <c r="G311" t="e">
        <f>TEXT(#REF!,"MMM")</f>
        <v>#REF!</v>
      </c>
      <c r="H311" t="e">
        <f>TEXT(#REF!,"DDD")</f>
        <v>#REF!</v>
      </c>
      <c r="I311" t="e">
        <f>DATEDIF(#REF!,#REF!,"D")</f>
        <v>#REF!</v>
      </c>
      <c r="J311" s="7" t="e">
        <f>ROUND(Table2[[#This Row],[Quantity]]*Table2[[#This Row],[Unit Price]]*VLOOKUP(#REF!,Table_1[#All],2,FALSE),0)</f>
        <v>#REF!</v>
      </c>
      <c r="K311" s="7">
        <f>Table2[[#This Row],[Quantity]]*Table2[[#This Row],[Unit Price]]</f>
        <v>2135</v>
      </c>
      <c r="L311" s="7" t="e">
        <f>Table2[[#This Row],[Sales Revenue]]-Table2[[#This Row],[Total Cost After Product Percentage Calc]]</f>
        <v>#REF!</v>
      </c>
    </row>
    <row r="312" spans="1:12" ht="14.25" customHeight="1" x14ac:dyDescent="0.3">
      <c r="A312" s="1">
        <v>7</v>
      </c>
      <c r="B312" s="1">
        <v>501</v>
      </c>
      <c r="C312" s="1" t="s">
        <v>20</v>
      </c>
      <c r="D312" s="1" t="s">
        <v>21</v>
      </c>
      <c r="E312" s="1" t="s">
        <v>30</v>
      </c>
      <c r="F312" t="e">
        <f>TEXT(#REF!,"YYY")</f>
        <v>#REF!</v>
      </c>
      <c r="G312" t="e">
        <f>TEXT(#REF!,"MMM")</f>
        <v>#REF!</v>
      </c>
      <c r="H312" t="e">
        <f>TEXT(#REF!,"DDD")</f>
        <v>#REF!</v>
      </c>
      <c r="I312" t="e">
        <f>DATEDIF(#REF!,#REF!,"D")</f>
        <v>#REF!</v>
      </c>
      <c r="J312" s="7" t="e">
        <f>ROUND(Table2[[#This Row],[Quantity]]*Table2[[#This Row],[Unit Price]]*VLOOKUP(#REF!,Table_1[#All],2,FALSE),0)</f>
        <v>#REF!</v>
      </c>
      <c r="K312" s="7">
        <f>Table2[[#This Row],[Quantity]]*Table2[[#This Row],[Unit Price]]</f>
        <v>3507</v>
      </c>
      <c r="L312" s="7" t="e">
        <f>Table2[[#This Row],[Sales Revenue]]-Table2[[#This Row],[Total Cost After Product Percentage Calc]]</f>
        <v>#REF!</v>
      </c>
    </row>
    <row r="313" spans="1:12" ht="14.25" customHeight="1" x14ac:dyDescent="0.3">
      <c r="A313" s="1">
        <v>8</v>
      </c>
      <c r="B313" s="1">
        <v>329</v>
      </c>
      <c r="C313" s="1" t="s">
        <v>10</v>
      </c>
      <c r="D313" s="1" t="s">
        <v>21</v>
      </c>
      <c r="E313" s="1" t="s">
        <v>12</v>
      </c>
      <c r="F313" t="e">
        <f>TEXT(#REF!,"YYY")</f>
        <v>#REF!</v>
      </c>
      <c r="G313" t="e">
        <f>TEXT(#REF!,"MMM")</f>
        <v>#REF!</v>
      </c>
      <c r="H313" t="e">
        <f>TEXT(#REF!,"DDD")</f>
        <v>#REF!</v>
      </c>
      <c r="I313" t="e">
        <f>DATEDIF(#REF!,#REF!,"D")</f>
        <v>#REF!</v>
      </c>
      <c r="J313" s="7" t="e">
        <f>ROUND(Table2[[#This Row],[Quantity]]*Table2[[#This Row],[Unit Price]]*VLOOKUP(#REF!,Table_1[#All],2,FALSE),0)</f>
        <v>#REF!</v>
      </c>
      <c r="K313" s="7">
        <f>Table2[[#This Row],[Quantity]]*Table2[[#This Row],[Unit Price]]</f>
        <v>2632</v>
      </c>
      <c r="L313" s="7" t="e">
        <f>Table2[[#This Row],[Sales Revenue]]-Table2[[#This Row],[Total Cost After Product Percentage Calc]]</f>
        <v>#REF!</v>
      </c>
    </row>
    <row r="314" spans="1:12" ht="14.25" customHeight="1" x14ac:dyDescent="0.3">
      <c r="A314" s="1">
        <v>9</v>
      </c>
      <c r="B314" s="1">
        <v>785</v>
      </c>
      <c r="C314" s="1" t="s">
        <v>10</v>
      </c>
      <c r="D314" s="1" t="s">
        <v>31</v>
      </c>
      <c r="E314" s="1" t="s">
        <v>30</v>
      </c>
      <c r="F314" t="e">
        <f>TEXT(#REF!,"YYY")</f>
        <v>#REF!</v>
      </c>
      <c r="G314" t="e">
        <f>TEXT(#REF!,"MMM")</f>
        <v>#REF!</v>
      </c>
      <c r="H314" t="e">
        <f>TEXT(#REF!,"DDD")</f>
        <v>#REF!</v>
      </c>
      <c r="I314" t="e">
        <f>DATEDIF(#REF!,#REF!,"D")</f>
        <v>#REF!</v>
      </c>
      <c r="J314" s="7" t="e">
        <f>ROUND(Table2[[#This Row],[Quantity]]*Table2[[#This Row],[Unit Price]]*VLOOKUP(#REF!,Table_1[#All],2,FALSE),0)</f>
        <v>#REF!</v>
      </c>
      <c r="K314" s="7">
        <f>Table2[[#This Row],[Quantity]]*Table2[[#This Row],[Unit Price]]</f>
        <v>7065</v>
      </c>
      <c r="L314" s="7" t="e">
        <f>Table2[[#This Row],[Sales Revenue]]-Table2[[#This Row],[Total Cost After Product Percentage Calc]]</f>
        <v>#REF!</v>
      </c>
    </row>
    <row r="315" spans="1:12" ht="14.25" customHeight="1" x14ac:dyDescent="0.3">
      <c r="A315" s="1">
        <v>2</v>
      </c>
      <c r="B315" s="1">
        <v>530</v>
      </c>
      <c r="C315" s="1" t="s">
        <v>20</v>
      </c>
      <c r="D315" s="1" t="s">
        <v>21</v>
      </c>
      <c r="E315" s="1" t="s">
        <v>14</v>
      </c>
      <c r="F315" t="e">
        <f>TEXT(#REF!,"YYY")</f>
        <v>#REF!</v>
      </c>
      <c r="G315" t="e">
        <f>TEXT(#REF!,"MMM")</f>
        <v>#REF!</v>
      </c>
      <c r="H315" t="e">
        <f>TEXT(#REF!,"DDD")</f>
        <v>#REF!</v>
      </c>
      <c r="I315" t="e">
        <f>DATEDIF(#REF!,#REF!,"D")</f>
        <v>#REF!</v>
      </c>
      <c r="J315" s="7" t="e">
        <f>ROUND(Table2[[#This Row],[Quantity]]*Table2[[#This Row],[Unit Price]]*VLOOKUP(#REF!,Table_1[#All],2,FALSE),0)</f>
        <v>#REF!</v>
      </c>
      <c r="K315" s="7">
        <f>Table2[[#This Row],[Quantity]]*Table2[[#This Row],[Unit Price]]</f>
        <v>1060</v>
      </c>
      <c r="L315" s="7" t="e">
        <f>Table2[[#This Row],[Sales Revenue]]-Table2[[#This Row],[Total Cost After Product Percentage Calc]]</f>
        <v>#REF!</v>
      </c>
    </row>
    <row r="316" spans="1:12" ht="14.25" customHeight="1" x14ac:dyDescent="0.3">
      <c r="A316" s="1">
        <v>3</v>
      </c>
      <c r="B316" s="1">
        <v>799</v>
      </c>
      <c r="C316" s="1" t="s">
        <v>10</v>
      </c>
      <c r="D316" s="1" t="s">
        <v>16</v>
      </c>
      <c r="E316" s="1" t="s">
        <v>30</v>
      </c>
      <c r="F316" t="e">
        <f>TEXT(#REF!,"YYY")</f>
        <v>#REF!</v>
      </c>
      <c r="G316" t="e">
        <f>TEXT(#REF!,"MMM")</f>
        <v>#REF!</v>
      </c>
      <c r="H316" t="e">
        <f>TEXT(#REF!,"DDD")</f>
        <v>#REF!</v>
      </c>
      <c r="I316" t="e">
        <f>DATEDIF(#REF!,#REF!,"D")</f>
        <v>#REF!</v>
      </c>
      <c r="J316" s="7" t="e">
        <f>ROUND(Table2[[#This Row],[Quantity]]*Table2[[#This Row],[Unit Price]]*VLOOKUP(#REF!,Table_1[#All],2,FALSE),0)</f>
        <v>#REF!</v>
      </c>
      <c r="K316" s="7">
        <f>Table2[[#This Row],[Quantity]]*Table2[[#This Row],[Unit Price]]</f>
        <v>2397</v>
      </c>
      <c r="L316" s="7" t="e">
        <f>Table2[[#This Row],[Sales Revenue]]-Table2[[#This Row],[Total Cost After Product Percentage Calc]]</f>
        <v>#REF!</v>
      </c>
    </row>
    <row r="317" spans="1:12" ht="14.25" customHeight="1" x14ac:dyDescent="0.3">
      <c r="A317" s="1">
        <v>10</v>
      </c>
      <c r="B317" s="1">
        <v>974</v>
      </c>
      <c r="C317" s="1" t="s">
        <v>10</v>
      </c>
      <c r="D317" s="1" t="s">
        <v>21</v>
      </c>
      <c r="E317" s="1" t="s">
        <v>14</v>
      </c>
      <c r="F317" t="e">
        <f>TEXT(#REF!,"YYY")</f>
        <v>#REF!</v>
      </c>
      <c r="G317" t="e">
        <f>TEXT(#REF!,"MMM")</f>
        <v>#REF!</v>
      </c>
      <c r="H317" t="e">
        <f>TEXT(#REF!,"DDD")</f>
        <v>#REF!</v>
      </c>
      <c r="I317" t="e">
        <f>DATEDIF(#REF!,#REF!,"D")</f>
        <v>#REF!</v>
      </c>
      <c r="J317" s="7" t="e">
        <f>ROUND(Table2[[#This Row],[Quantity]]*Table2[[#This Row],[Unit Price]]*VLOOKUP(#REF!,Table_1[#All],2,FALSE),0)</f>
        <v>#REF!</v>
      </c>
      <c r="K317" s="7">
        <f>Table2[[#This Row],[Quantity]]*Table2[[#This Row],[Unit Price]]</f>
        <v>9740</v>
      </c>
      <c r="L317" s="7" t="e">
        <f>Table2[[#This Row],[Sales Revenue]]-Table2[[#This Row],[Total Cost After Product Percentage Calc]]</f>
        <v>#REF!</v>
      </c>
    </row>
    <row r="318" spans="1:12" ht="14.25" customHeight="1" x14ac:dyDescent="0.3">
      <c r="A318" s="1">
        <v>3</v>
      </c>
      <c r="B318" s="1">
        <v>179</v>
      </c>
      <c r="C318" s="1" t="s">
        <v>10</v>
      </c>
      <c r="D318" s="1" t="s">
        <v>16</v>
      </c>
      <c r="E318" s="1" t="s">
        <v>30</v>
      </c>
      <c r="F318" t="e">
        <f>TEXT(#REF!,"YYY")</f>
        <v>#REF!</v>
      </c>
      <c r="G318" t="e">
        <f>TEXT(#REF!,"MMM")</f>
        <v>#REF!</v>
      </c>
      <c r="H318" t="e">
        <f>TEXT(#REF!,"DDD")</f>
        <v>#REF!</v>
      </c>
      <c r="I318" t="e">
        <f>DATEDIF(#REF!,#REF!,"D")</f>
        <v>#REF!</v>
      </c>
      <c r="J318" s="7" t="e">
        <f>ROUND(Table2[[#This Row],[Quantity]]*Table2[[#This Row],[Unit Price]]*VLOOKUP(#REF!,Table_1[#All],2,FALSE),0)</f>
        <v>#REF!</v>
      </c>
      <c r="K318" s="7">
        <f>Table2[[#This Row],[Quantity]]*Table2[[#This Row],[Unit Price]]</f>
        <v>537</v>
      </c>
      <c r="L318" s="7" t="e">
        <f>Table2[[#This Row],[Sales Revenue]]-Table2[[#This Row],[Total Cost After Product Percentage Calc]]</f>
        <v>#REF!</v>
      </c>
    </row>
    <row r="319" spans="1:12" ht="14.25" customHeight="1" x14ac:dyDescent="0.3">
      <c r="A319" s="1">
        <v>4</v>
      </c>
      <c r="B319" s="1">
        <v>49</v>
      </c>
      <c r="C319" s="1" t="s">
        <v>20</v>
      </c>
      <c r="D319" s="1" t="s">
        <v>31</v>
      </c>
      <c r="E319" s="1" t="s">
        <v>14</v>
      </c>
      <c r="F319" t="e">
        <f>TEXT(#REF!,"YYY")</f>
        <v>#REF!</v>
      </c>
      <c r="G319" t="e">
        <f>TEXT(#REF!,"MMM")</f>
        <v>#REF!</v>
      </c>
      <c r="H319" t="e">
        <f>TEXT(#REF!,"DDD")</f>
        <v>#REF!</v>
      </c>
      <c r="I319" t="e">
        <f>DATEDIF(#REF!,#REF!,"D")</f>
        <v>#REF!</v>
      </c>
      <c r="J319" s="7" t="e">
        <f>ROUND(Table2[[#This Row],[Quantity]]*Table2[[#This Row],[Unit Price]]*VLOOKUP(#REF!,Table_1[#All],2,FALSE),0)</f>
        <v>#REF!</v>
      </c>
      <c r="K319" s="7">
        <f>Table2[[#This Row],[Quantity]]*Table2[[#This Row],[Unit Price]]</f>
        <v>196</v>
      </c>
      <c r="L319" s="7" t="e">
        <f>Table2[[#This Row],[Sales Revenue]]-Table2[[#This Row],[Total Cost After Product Percentage Calc]]</f>
        <v>#REF!</v>
      </c>
    </row>
    <row r="320" spans="1:12" ht="14.25" customHeight="1" x14ac:dyDescent="0.3">
      <c r="A320" s="1">
        <v>7</v>
      </c>
      <c r="B320" s="1">
        <v>409</v>
      </c>
      <c r="C320" s="1" t="s">
        <v>10</v>
      </c>
      <c r="D320" s="1" t="s">
        <v>24</v>
      </c>
      <c r="E320" s="1" t="s">
        <v>22</v>
      </c>
      <c r="F320" t="e">
        <f>TEXT(#REF!,"YYY")</f>
        <v>#REF!</v>
      </c>
      <c r="G320" t="e">
        <f>TEXT(#REF!,"MMM")</f>
        <v>#REF!</v>
      </c>
      <c r="H320" t="e">
        <f>TEXT(#REF!,"DDD")</f>
        <v>#REF!</v>
      </c>
      <c r="I320" t="e">
        <f>DATEDIF(#REF!,#REF!,"D")</f>
        <v>#REF!</v>
      </c>
      <c r="J320" s="7" t="e">
        <f>ROUND(Table2[[#This Row],[Quantity]]*Table2[[#This Row],[Unit Price]]*VLOOKUP(#REF!,Table_1[#All],2,FALSE),0)</f>
        <v>#REF!</v>
      </c>
      <c r="K320" s="7">
        <f>Table2[[#This Row],[Quantity]]*Table2[[#This Row],[Unit Price]]</f>
        <v>2863</v>
      </c>
      <c r="L320" s="7" t="e">
        <f>Table2[[#This Row],[Sales Revenue]]-Table2[[#This Row],[Total Cost After Product Percentage Calc]]</f>
        <v>#REF!</v>
      </c>
    </row>
    <row r="321" spans="1:12" ht="14.25" customHeight="1" x14ac:dyDescent="0.3">
      <c r="A321" s="1">
        <v>4</v>
      </c>
      <c r="B321" s="1">
        <v>149</v>
      </c>
      <c r="C321" s="1" t="s">
        <v>10</v>
      </c>
      <c r="D321" s="1" t="s">
        <v>16</v>
      </c>
      <c r="E321" s="1" t="s">
        <v>22</v>
      </c>
      <c r="F321" t="e">
        <f>TEXT(#REF!,"YYY")</f>
        <v>#REF!</v>
      </c>
      <c r="G321" t="e">
        <f>TEXT(#REF!,"MMM")</f>
        <v>#REF!</v>
      </c>
      <c r="H321" t="e">
        <f>TEXT(#REF!,"DDD")</f>
        <v>#REF!</v>
      </c>
      <c r="I321" t="e">
        <f>DATEDIF(#REF!,#REF!,"D")</f>
        <v>#REF!</v>
      </c>
      <c r="J321" s="7" t="e">
        <f>ROUND(Table2[[#This Row],[Quantity]]*Table2[[#This Row],[Unit Price]]*VLOOKUP(#REF!,Table_1[#All],2,FALSE),0)</f>
        <v>#REF!</v>
      </c>
      <c r="K321" s="7">
        <f>Table2[[#This Row],[Quantity]]*Table2[[#This Row],[Unit Price]]</f>
        <v>596</v>
      </c>
      <c r="L321" s="7" t="e">
        <f>Table2[[#This Row],[Sales Revenue]]-Table2[[#This Row],[Total Cost After Product Percentage Calc]]</f>
        <v>#REF!</v>
      </c>
    </row>
    <row r="322" spans="1:12" ht="14.25" customHeight="1" x14ac:dyDescent="0.3">
      <c r="A322" s="1">
        <v>5</v>
      </c>
      <c r="B322" s="1">
        <v>285</v>
      </c>
      <c r="C322" s="1" t="s">
        <v>10</v>
      </c>
      <c r="D322" s="1" t="s">
        <v>11</v>
      </c>
      <c r="E322" s="1" t="s">
        <v>30</v>
      </c>
      <c r="F322" t="e">
        <f>TEXT(#REF!,"YYY")</f>
        <v>#REF!</v>
      </c>
      <c r="G322" t="e">
        <f>TEXT(#REF!,"MMM")</f>
        <v>#REF!</v>
      </c>
      <c r="H322" t="e">
        <f>TEXT(#REF!,"DDD")</f>
        <v>#REF!</v>
      </c>
      <c r="I322" t="e">
        <f>DATEDIF(#REF!,#REF!,"D")</f>
        <v>#REF!</v>
      </c>
      <c r="J322" s="7" t="e">
        <f>ROUND(Table2[[#This Row],[Quantity]]*Table2[[#This Row],[Unit Price]]*VLOOKUP(#REF!,Table_1[#All],2,FALSE),0)</f>
        <v>#REF!</v>
      </c>
      <c r="K322" s="7">
        <f>Table2[[#This Row],[Quantity]]*Table2[[#This Row],[Unit Price]]</f>
        <v>1425</v>
      </c>
      <c r="L322" s="7" t="e">
        <f>Table2[[#This Row],[Sales Revenue]]-Table2[[#This Row],[Total Cost After Product Percentage Calc]]</f>
        <v>#REF!</v>
      </c>
    </row>
    <row r="323" spans="1:12" ht="14.25" customHeight="1" x14ac:dyDescent="0.3">
      <c r="A323" s="1">
        <v>10</v>
      </c>
      <c r="B323" s="1">
        <v>434</v>
      </c>
      <c r="C323" s="1" t="s">
        <v>10</v>
      </c>
      <c r="D323" s="1" t="s">
        <v>21</v>
      </c>
      <c r="E323" s="1" t="s">
        <v>12</v>
      </c>
      <c r="F323" t="e">
        <f>TEXT(#REF!,"YYY")</f>
        <v>#REF!</v>
      </c>
      <c r="G323" t="e">
        <f>TEXT(#REF!,"MMM")</f>
        <v>#REF!</v>
      </c>
      <c r="H323" t="e">
        <f>TEXT(#REF!,"DDD")</f>
        <v>#REF!</v>
      </c>
      <c r="I323" t="e">
        <f>DATEDIF(#REF!,#REF!,"D")</f>
        <v>#REF!</v>
      </c>
      <c r="J323" s="7" t="e">
        <f>ROUND(Table2[[#This Row],[Quantity]]*Table2[[#This Row],[Unit Price]]*VLOOKUP(#REF!,Table_1[#All],2,FALSE),0)</f>
        <v>#REF!</v>
      </c>
      <c r="K323" s="7">
        <f>Table2[[#This Row],[Quantity]]*Table2[[#This Row],[Unit Price]]</f>
        <v>4340</v>
      </c>
      <c r="L323" s="7" t="e">
        <f>Table2[[#This Row],[Sales Revenue]]-Table2[[#This Row],[Total Cost After Product Percentage Calc]]</f>
        <v>#REF!</v>
      </c>
    </row>
    <row r="324" spans="1:12" ht="14.25" customHeight="1" x14ac:dyDescent="0.3">
      <c r="A324" s="1">
        <v>7</v>
      </c>
      <c r="B324" s="1">
        <v>195</v>
      </c>
      <c r="C324" s="1" t="s">
        <v>10</v>
      </c>
      <c r="D324" s="1" t="s">
        <v>24</v>
      </c>
      <c r="E324" s="1" t="s">
        <v>30</v>
      </c>
      <c r="F324" t="e">
        <f>TEXT(#REF!,"YYY")</f>
        <v>#REF!</v>
      </c>
      <c r="G324" t="e">
        <f>TEXT(#REF!,"MMM")</f>
        <v>#REF!</v>
      </c>
      <c r="H324" t="e">
        <f>TEXT(#REF!,"DDD")</f>
        <v>#REF!</v>
      </c>
      <c r="I324" t="e">
        <f>DATEDIF(#REF!,#REF!,"D")</f>
        <v>#REF!</v>
      </c>
      <c r="J324" s="7" t="e">
        <f>ROUND(Table2[[#This Row],[Quantity]]*Table2[[#This Row],[Unit Price]]*VLOOKUP(#REF!,Table_1[#All],2,FALSE),0)</f>
        <v>#REF!</v>
      </c>
      <c r="K324" s="7">
        <f>Table2[[#This Row],[Quantity]]*Table2[[#This Row],[Unit Price]]</f>
        <v>1365</v>
      </c>
      <c r="L324" s="7" t="e">
        <f>Table2[[#This Row],[Sales Revenue]]-Table2[[#This Row],[Total Cost After Product Percentage Calc]]</f>
        <v>#REF!</v>
      </c>
    </row>
    <row r="325" spans="1:12" ht="14.25" customHeight="1" x14ac:dyDescent="0.3">
      <c r="A325" s="1">
        <v>4</v>
      </c>
      <c r="B325" s="1">
        <v>432</v>
      </c>
      <c r="C325" s="1" t="s">
        <v>10</v>
      </c>
      <c r="D325" s="1" t="s">
        <v>21</v>
      </c>
      <c r="E325" s="1" t="s">
        <v>12</v>
      </c>
      <c r="F325" t="e">
        <f>TEXT(#REF!,"YYY")</f>
        <v>#REF!</v>
      </c>
      <c r="G325" t="e">
        <f>TEXT(#REF!,"MMM")</f>
        <v>#REF!</v>
      </c>
      <c r="H325" t="e">
        <f>TEXT(#REF!,"DDD")</f>
        <v>#REF!</v>
      </c>
      <c r="I325" t="e">
        <f>DATEDIF(#REF!,#REF!,"D")</f>
        <v>#REF!</v>
      </c>
      <c r="J325" s="7" t="e">
        <f>ROUND(Table2[[#This Row],[Quantity]]*Table2[[#This Row],[Unit Price]]*VLOOKUP(#REF!,Table_1[#All],2,FALSE),0)</f>
        <v>#REF!</v>
      </c>
      <c r="K325" s="7">
        <f>Table2[[#This Row],[Quantity]]*Table2[[#This Row],[Unit Price]]</f>
        <v>1728</v>
      </c>
      <c r="L325" s="7" t="e">
        <f>Table2[[#This Row],[Sales Revenue]]-Table2[[#This Row],[Total Cost After Product Percentage Calc]]</f>
        <v>#REF!</v>
      </c>
    </row>
    <row r="326" spans="1:12" ht="14.25" customHeight="1" x14ac:dyDescent="0.3">
      <c r="A326" s="1">
        <v>2</v>
      </c>
      <c r="B326" s="1">
        <v>708</v>
      </c>
      <c r="C326" s="1" t="s">
        <v>20</v>
      </c>
      <c r="D326" s="1" t="s">
        <v>24</v>
      </c>
      <c r="E326" s="1" t="s">
        <v>12</v>
      </c>
      <c r="F326" t="e">
        <f>TEXT(#REF!,"YYY")</f>
        <v>#REF!</v>
      </c>
      <c r="G326" t="e">
        <f>TEXT(#REF!,"MMM")</f>
        <v>#REF!</v>
      </c>
      <c r="H326" t="e">
        <f>TEXT(#REF!,"DDD")</f>
        <v>#REF!</v>
      </c>
      <c r="I326" t="e">
        <f>DATEDIF(#REF!,#REF!,"D")</f>
        <v>#REF!</v>
      </c>
      <c r="J326" s="7" t="e">
        <f>ROUND(Table2[[#This Row],[Quantity]]*Table2[[#This Row],[Unit Price]]*VLOOKUP(#REF!,Table_1[#All],2,FALSE),0)</f>
        <v>#REF!</v>
      </c>
      <c r="K326" s="7">
        <f>Table2[[#This Row],[Quantity]]*Table2[[#This Row],[Unit Price]]</f>
        <v>1416</v>
      </c>
      <c r="L326" s="7" t="e">
        <f>Table2[[#This Row],[Sales Revenue]]-Table2[[#This Row],[Total Cost After Product Percentage Calc]]</f>
        <v>#REF!</v>
      </c>
    </row>
    <row r="327" spans="1:12" ht="14.25" customHeight="1" x14ac:dyDescent="0.3">
      <c r="A327" s="1">
        <v>3</v>
      </c>
      <c r="B327" s="1">
        <v>868</v>
      </c>
      <c r="C327" s="1" t="s">
        <v>10</v>
      </c>
      <c r="D327" s="1" t="s">
        <v>16</v>
      </c>
      <c r="E327" s="1" t="s">
        <v>14</v>
      </c>
      <c r="F327" t="e">
        <f>TEXT(#REF!,"YYY")</f>
        <v>#REF!</v>
      </c>
      <c r="G327" t="e">
        <f>TEXT(#REF!,"MMM")</f>
        <v>#REF!</v>
      </c>
      <c r="H327" t="e">
        <f>TEXT(#REF!,"DDD")</f>
        <v>#REF!</v>
      </c>
      <c r="I327" t="e">
        <f>DATEDIF(#REF!,#REF!,"D")</f>
        <v>#REF!</v>
      </c>
      <c r="J327" s="7" t="e">
        <f>ROUND(Table2[[#This Row],[Quantity]]*Table2[[#This Row],[Unit Price]]*VLOOKUP(#REF!,Table_1[#All],2,FALSE),0)</f>
        <v>#REF!</v>
      </c>
      <c r="K327" s="7">
        <f>Table2[[#This Row],[Quantity]]*Table2[[#This Row],[Unit Price]]</f>
        <v>2604</v>
      </c>
      <c r="L327" s="7" t="e">
        <f>Table2[[#This Row],[Sales Revenue]]-Table2[[#This Row],[Total Cost After Product Percentage Calc]]</f>
        <v>#REF!</v>
      </c>
    </row>
    <row r="328" spans="1:12" ht="14.25" customHeight="1" x14ac:dyDescent="0.3">
      <c r="A328" s="1">
        <v>1</v>
      </c>
      <c r="B328" s="1">
        <v>130</v>
      </c>
      <c r="C328" s="1" t="s">
        <v>20</v>
      </c>
      <c r="D328" s="1" t="s">
        <v>11</v>
      </c>
      <c r="E328" s="1" t="s">
        <v>12</v>
      </c>
      <c r="F328" t="e">
        <f>TEXT(#REF!,"YYY")</f>
        <v>#REF!</v>
      </c>
      <c r="G328" t="e">
        <f>TEXT(#REF!,"MMM")</f>
        <v>#REF!</v>
      </c>
      <c r="H328" t="e">
        <f>TEXT(#REF!,"DDD")</f>
        <v>#REF!</v>
      </c>
      <c r="I328" t="e">
        <f>DATEDIF(#REF!,#REF!,"D")</f>
        <v>#REF!</v>
      </c>
      <c r="J328" s="7" t="e">
        <f>ROUND(Table2[[#This Row],[Quantity]]*Table2[[#This Row],[Unit Price]]*VLOOKUP(#REF!,Table_1[#All],2,FALSE),0)</f>
        <v>#REF!</v>
      </c>
      <c r="K328" s="7">
        <f>Table2[[#This Row],[Quantity]]*Table2[[#This Row],[Unit Price]]</f>
        <v>130</v>
      </c>
      <c r="L328" s="7" t="e">
        <f>Table2[[#This Row],[Sales Revenue]]-Table2[[#This Row],[Total Cost After Product Percentage Calc]]</f>
        <v>#REF!</v>
      </c>
    </row>
    <row r="329" spans="1:12" ht="14.25" customHeight="1" x14ac:dyDescent="0.3">
      <c r="A329" s="1">
        <v>3</v>
      </c>
      <c r="B329" s="1">
        <v>744</v>
      </c>
      <c r="C329" s="1" t="s">
        <v>20</v>
      </c>
      <c r="D329" s="1" t="s">
        <v>31</v>
      </c>
      <c r="E329" s="1" t="s">
        <v>30</v>
      </c>
      <c r="F329" t="e">
        <f>TEXT(#REF!,"YYY")</f>
        <v>#REF!</v>
      </c>
      <c r="G329" t="e">
        <f>TEXT(#REF!,"MMM")</f>
        <v>#REF!</v>
      </c>
      <c r="H329" t="e">
        <f>TEXT(#REF!,"DDD")</f>
        <v>#REF!</v>
      </c>
      <c r="I329" t="e">
        <f>DATEDIF(#REF!,#REF!,"D")</f>
        <v>#REF!</v>
      </c>
      <c r="J329" s="7" t="e">
        <f>ROUND(Table2[[#This Row],[Quantity]]*Table2[[#This Row],[Unit Price]]*VLOOKUP(#REF!,Table_1[#All],2,FALSE),0)</f>
        <v>#REF!</v>
      </c>
      <c r="K329" s="7">
        <f>Table2[[#This Row],[Quantity]]*Table2[[#This Row],[Unit Price]]</f>
        <v>2232</v>
      </c>
      <c r="L329" s="7" t="e">
        <f>Table2[[#This Row],[Sales Revenue]]-Table2[[#This Row],[Total Cost After Product Percentage Calc]]</f>
        <v>#REF!</v>
      </c>
    </row>
    <row r="330" spans="1:12" ht="14.25" customHeight="1" x14ac:dyDescent="0.3">
      <c r="A330" s="1">
        <v>1</v>
      </c>
      <c r="B330" s="1">
        <v>62</v>
      </c>
      <c r="C330" s="1" t="s">
        <v>20</v>
      </c>
      <c r="D330" s="1" t="s">
        <v>24</v>
      </c>
      <c r="E330" s="1" t="s">
        <v>12</v>
      </c>
      <c r="F330" t="e">
        <f>TEXT(#REF!,"YYY")</f>
        <v>#REF!</v>
      </c>
      <c r="G330" t="e">
        <f>TEXT(#REF!,"MMM")</f>
        <v>#REF!</v>
      </c>
      <c r="H330" t="e">
        <f>TEXT(#REF!,"DDD")</f>
        <v>#REF!</v>
      </c>
      <c r="I330" t="e">
        <f>DATEDIF(#REF!,#REF!,"D")</f>
        <v>#REF!</v>
      </c>
      <c r="J330" s="7" t="e">
        <f>ROUND(Table2[[#This Row],[Quantity]]*Table2[[#This Row],[Unit Price]]*VLOOKUP(#REF!,Table_1[#All],2,FALSE),0)</f>
        <v>#REF!</v>
      </c>
      <c r="K330" s="7">
        <f>Table2[[#This Row],[Quantity]]*Table2[[#This Row],[Unit Price]]</f>
        <v>62</v>
      </c>
      <c r="L330" s="7" t="e">
        <f>Table2[[#This Row],[Sales Revenue]]-Table2[[#This Row],[Total Cost After Product Percentage Calc]]</f>
        <v>#REF!</v>
      </c>
    </row>
    <row r="331" spans="1:12" ht="14.25" customHeight="1" x14ac:dyDescent="0.3">
      <c r="A331" s="1">
        <v>9</v>
      </c>
      <c r="B331" s="1">
        <v>385</v>
      </c>
      <c r="C331" s="1" t="s">
        <v>20</v>
      </c>
      <c r="D331" s="1" t="s">
        <v>24</v>
      </c>
      <c r="E331" s="1" t="s">
        <v>22</v>
      </c>
      <c r="F331" t="e">
        <f>TEXT(#REF!,"YYY")</f>
        <v>#REF!</v>
      </c>
      <c r="G331" t="e">
        <f>TEXT(#REF!,"MMM")</f>
        <v>#REF!</v>
      </c>
      <c r="H331" t="e">
        <f>TEXT(#REF!,"DDD")</f>
        <v>#REF!</v>
      </c>
      <c r="I331" t="e">
        <f>DATEDIF(#REF!,#REF!,"D")</f>
        <v>#REF!</v>
      </c>
      <c r="J331" s="7" t="e">
        <f>ROUND(Table2[[#This Row],[Quantity]]*Table2[[#This Row],[Unit Price]]*VLOOKUP(#REF!,Table_1[#All],2,FALSE),0)</f>
        <v>#REF!</v>
      </c>
      <c r="K331" s="7">
        <f>Table2[[#This Row],[Quantity]]*Table2[[#This Row],[Unit Price]]</f>
        <v>3465</v>
      </c>
      <c r="L331" s="7" t="e">
        <f>Table2[[#This Row],[Sales Revenue]]-Table2[[#This Row],[Total Cost After Product Percentage Calc]]</f>
        <v>#REF!</v>
      </c>
    </row>
    <row r="332" spans="1:12" ht="14.25" customHeight="1" x14ac:dyDescent="0.3">
      <c r="A332" s="1">
        <v>5</v>
      </c>
      <c r="B332" s="1">
        <v>465</v>
      </c>
      <c r="C332" s="1" t="s">
        <v>10</v>
      </c>
      <c r="D332" s="1" t="s">
        <v>24</v>
      </c>
      <c r="E332" s="1" t="s">
        <v>12</v>
      </c>
      <c r="F332" t="e">
        <f>TEXT(#REF!,"YYY")</f>
        <v>#REF!</v>
      </c>
      <c r="G332" t="e">
        <f>TEXT(#REF!,"MMM")</f>
        <v>#REF!</v>
      </c>
      <c r="H332" t="e">
        <f>TEXT(#REF!,"DDD")</f>
        <v>#REF!</v>
      </c>
      <c r="I332" t="e">
        <f>DATEDIF(#REF!,#REF!,"D")</f>
        <v>#REF!</v>
      </c>
      <c r="J332" s="7" t="e">
        <f>ROUND(Table2[[#This Row],[Quantity]]*Table2[[#This Row],[Unit Price]]*VLOOKUP(#REF!,Table_1[#All],2,FALSE),0)</f>
        <v>#REF!</v>
      </c>
      <c r="K332" s="7">
        <f>Table2[[#This Row],[Quantity]]*Table2[[#This Row],[Unit Price]]</f>
        <v>2325</v>
      </c>
      <c r="L332" s="7" t="e">
        <f>Table2[[#This Row],[Sales Revenue]]-Table2[[#This Row],[Total Cost After Product Percentage Calc]]</f>
        <v>#REF!</v>
      </c>
    </row>
    <row r="333" spans="1:12" ht="14.25" customHeight="1" x14ac:dyDescent="0.3">
      <c r="A333" s="1">
        <v>2</v>
      </c>
      <c r="B333" s="1">
        <v>280</v>
      </c>
      <c r="C333" s="1" t="s">
        <v>10</v>
      </c>
      <c r="D333" s="1" t="s">
        <v>24</v>
      </c>
      <c r="E333" s="1" t="s">
        <v>14</v>
      </c>
      <c r="F333" t="e">
        <f>TEXT(#REF!,"YYY")</f>
        <v>#REF!</v>
      </c>
      <c r="G333" t="e">
        <f>TEXT(#REF!,"MMM")</f>
        <v>#REF!</v>
      </c>
      <c r="H333" t="e">
        <f>TEXT(#REF!,"DDD")</f>
        <v>#REF!</v>
      </c>
      <c r="I333" t="e">
        <f>DATEDIF(#REF!,#REF!,"D")</f>
        <v>#REF!</v>
      </c>
      <c r="J333" s="7" t="e">
        <f>ROUND(Table2[[#This Row],[Quantity]]*Table2[[#This Row],[Unit Price]]*VLOOKUP(#REF!,Table_1[#All],2,FALSE),0)</f>
        <v>#REF!</v>
      </c>
      <c r="K333" s="7">
        <f>Table2[[#This Row],[Quantity]]*Table2[[#This Row],[Unit Price]]</f>
        <v>560</v>
      </c>
      <c r="L333" s="7" t="e">
        <f>Table2[[#This Row],[Sales Revenue]]-Table2[[#This Row],[Total Cost After Product Percentage Calc]]</f>
        <v>#REF!</v>
      </c>
    </row>
    <row r="334" spans="1:12" ht="14.25" customHeight="1" x14ac:dyDescent="0.3">
      <c r="A334" s="1">
        <v>5</v>
      </c>
      <c r="B334" s="1">
        <v>536</v>
      </c>
      <c r="C334" s="1" t="s">
        <v>20</v>
      </c>
      <c r="D334" s="1" t="s">
        <v>31</v>
      </c>
      <c r="E334" s="1" t="s">
        <v>30</v>
      </c>
      <c r="F334" t="e">
        <f>TEXT(#REF!,"YYY")</f>
        <v>#REF!</v>
      </c>
      <c r="G334" t="e">
        <f>TEXT(#REF!,"MMM")</f>
        <v>#REF!</v>
      </c>
      <c r="H334" t="e">
        <f>TEXT(#REF!,"DDD")</f>
        <v>#REF!</v>
      </c>
      <c r="I334" t="e">
        <f>DATEDIF(#REF!,#REF!,"D")</f>
        <v>#REF!</v>
      </c>
      <c r="J334" s="7" t="e">
        <f>ROUND(Table2[[#This Row],[Quantity]]*Table2[[#This Row],[Unit Price]]*VLOOKUP(#REF!,Table_1[#All],2,FALSE),0)</f>
        <v>#REF!</v>
      </c>
      <c r="K334" s="7">
        <f>Table2[[#This Row],[Quantity]]*Table2[[#This Row],[Unit Price]]</f>
        <v>2680</v>
      </c>
      <c r="L334" s="7" t="e">
        <f>Table2[[#This Row],[Sales Revenue]]-Table2[[#This Row],[Total Cost After Product Percentage Calc]]</f>
        <v>#REF!</v>
      </c>
    </row>
    <row r="335" spans="1:12" ht="14.25" customHeight="1" x14ac:dyDescent="0.3">
      <c r="A335" s="1">
        <v>9</v>
      </c>
      <c r="B335" s="1">
        <v>754</v>
      </c>
      <c r="C335" s="1" t="s">
        <v>10</v>
      </c>
      <c r="D335" s="1" t="s">
        <v>21</v>
      </c>
      <c r="E335" s="1" t="s">
        <v>22</v>
      </c>
      <c r="F335" t="e">
        <f>TEXT(#REF!,"YYY")</f>
        <v>#REF!</v>
      </c>
      <c r="G335" t="e">
        <f>TEXT(#REF!,"MMM")</f>
        <v>#REF!</v>
      </c>
      <c r="H335" t="e">
        <f>TEXT(#REF!,"DDD")</f>
        <v>#REF!</v>
      </c>
      <c r="I335" t="e">
        <f>DATEDIF(#REF!,#REF!,"D")</f>
        <v>#REF!</v>
      </c>
      <c r="J335" s="7" t="e">
        <f>ROUND(Table2[[#This Row],[Quantity]]*Table2[[#This Row],[Unit Price]]*VLOOKUP(#REF!,Table_1[#All],2,FALSE),0)</f>
        <v>#REF!</v>
      </c>
      <c r="K335" s="7">
        <f>Table2[[#This Row],[Quantity]]*Table2[[#This Row],[Unit Price]]</f>
        <v>6786</v>
      </c>
      <c r="L335" s="7" t="e">
        <f>Table2[[#This Row],[Sales Revenue]]-Table2[[#This Row],[Total Cost After Product Percentage Calc]]</f>
        <v>#REF!</v>
      </c>
    </row>
    <row r="336" spans="1:12" ht="14.25" customHeight="1" x14ac:dyDescent="0.3">
      <c r="A336" s="1">
        <v>5</v>
      </c>
      <c r="B336" s="1">
        <v>292</v>
      </c>
      <c r="C336" s="1" t="s">
        <v>20</v>
      </c>
      <c r="D336" s="1" t="s">
        <v>24</v>
      </c>
      <c r="E336" s="1" t="s">
        <v>22</v>
      </c>
      <c r="F336" t="e">
        <f>TEXT(#REF!,"YYY")</f>
        <v>#REF!</v>
      </c>
      <c r="G336" t="e">
        <f>TEXT(#REF!,"MMM")</f>
        <v>#REF!</v>
      </c>
      <c r="H336" t="e">
        <f>TEXT(#REF!,"DDD")</f>
        <v>#REF!</v>
      </c>
      <c r="I336" t="e">
        <f>DATEDIF(#REF!,#REF!,"D")</f>
        <v>#REF!</v>
      </c>
      <c r="J336" s="7" t="e">
        <f>ROUND(Table2[[#This Row],[Quantity]]*Table2[[#This Row],[Unit Price]]*VLOOKUP(#REF!,Table_1[#All],2,FALSE),0)</f>
        <v>#REF!</v>
      </c>
      <c r="K336" s="7">
        <f>Table2[[#This Row],[Quantity]]*Table2[[#This Row],[Unit Price]]</f>
        <v>1460</v>
      </c>
      <c r="L336" s="7" t="e">
        <f>Table2[[#This Row],[Sales Revenue]]-Table2[[#This Row],[Total Cost After Product Percentage Calc]]</f>
        <v>#REF!</v>
      </c>
    </row>
    <row r="337" spans="1:12" ht="14.25" customHeight="1" x14ac:dyDescent="0.3">
      <c r="A337" s="1">
        <v>1</v>
      </c>
      <c r="B337" s="1">
        <v>521</v>
      </c>
      <c r="C337" s="1" t="s">
        <v>20</v>
      </c>
      <c r="D337" s="1" t="s">
        <v>31</v>
      </c>
      <c r="E337" s="1" t="s">
        <v>30</v>
      </c>
      <c r="F337" t="e">
        <f>TEXT(#REF!,"YYY")</f>
        <v>#REF!</v>
      </c>
      <c r="G337" t="e">
        <f>TEXT(#REF!,"MMM")</f>
        <v>#REF!</v>
      </c>
      <c r="H337" t="e">
        <f>TEXT(#REF!,"DDD")</f>
        <v>#REF!</v>
      </c>
      <c r="I337" t="e">
        <f>DATEDIF(#REF!,#REF!,"D")</f>
        <v>#REF!</v>
      </c>
      <c r="J337" s="7" t="e">
        <f>ROUND(Table2[[#This Row],[Quantity]]*Table2[[#This Row],[Unit Price]]*VLOOKUP(#REF!,Table_1[#All],2,FALSE),0)</f>
        <v>#REF!</v>
      </c>
      <c r="K337" s="7">
        <f>Table2[[#This Row],[Quantity]]*Table2[[#This Row],[Unit Price]]</f>
        <v>521</v>
      </c>
      <c r="L337" s="7" t="e">
        <f>Table2[[#This Row],[Sales Revenue]]-Table2[[#This Row],[Total Cost After Product Percentage Calc]]</f>
        <v>#REF!</v>
      </c>
    </row>
    <row r="338" spans="1:12" ht="14.25" customHeight="1" x14ac:dyDescent="0.3">
      <c r="A338" s="1">
        <v>5</v>
      </c>
      <c r="B338" s="1">
        <v>630</v>
      </c>
      <c r="C338" s="1" t="s">
        <v>10</v>
      </c>
      <c r="D338" s="1" t="s">
        <v>11</v>
      </c>
      <c r="E338" s="1" t="s">
        <v>30</v>
      </c>
      <c r="F338" t="e">
        <f>TEXT(#REF!,"YYY")</f>
        <v>#REF!</v>
      </c>
      <c r="G338" t="e">
        <f>TEXT(#REF!,"MMM")</f>
        <v>#REF!</v>
      </c>
      <c r="H338" t="e">
        <f>TEXT(#REF!,"DDD")</f>
        <v>#REF!</v>
      </c>
      <c r="I338" t="e">
        <f>DATEDIF(#REF!,#REF!,"D")</f>
        <v>#REF!</v>
      </c>
      <c r="J338" s="7" t="e">
        <f>ROUND(Table2[[#This Row],[Quantity]]*Table2[[#This Row],[Unit Price]]*VLOOKUP(#REF!,Table_1[#All],2,FALSE),0)</f>
        <v>#REF!</v>
      </c>
      <c r="K338" s="7">
        <f>Table2[[#This Row],[Quantity]]*Table2[[#This Row],[Unit Price]]</f>
        <v>3150</v>
      </c>
      <c r="L338" s="7" t="e">
        <f>Table2[[#This Row],[Sales Revenue]]-Table2[[#This Row],[Total Cost After Product Percentage Calc]]</f>
        <v>#REF!</v>
      </c>
    </row>
    <row r="339" spans="1:12" ht="14.25" customHeight="1" x14ac:dyDescent="0.3">
      <c r="A339" s="1">
        <v>10</v>
      </c>
      <c r="B339" s="1">
        <v>678</v>
      </c>
      <c r="C339" s="1" t="s">
        <v>10</v>
      </c>
      <c r="D339" s="1" t="s">
        <v>21</v>
      </c>
      <c r="E339" s="1" t="s">
        <v>30</v>
      </c>
      <c r="F339" t="e">
        <f>TEXT(#REF!,"YYY")</f>
        <v>#REF!</v>
      </c>
      <c r="G339" t="e">
        <f>TEXT(#REF!,"MMM")</f>
        <v>#REF!</v>
      </c>
      <c r="H339" t="e">
        <f>TEXT(#REF!,"DDD")</f>
        <v>#REF!</v>
      </c>
      <c r="I339" t="e">
        <f>DATEDIF(#REF!,#REF!,"D")</f>
        <v>#REF!</v>
      </c>
      <c r="J339" s="7" t="e">
        <f>ROUND(Table2[[#This Row],[Quantity]]*Table2[[#This Row],[Unit Price]]*VLOOKUP(#REF!,Table_1[#All],2,FALSE),0)</f>
        <v>#REF!</v>
      </c>
      <c r="K339" s="7">
        <f>Table2[[#This Row],[Quantity]]*Table2[[#This Row],[Unit Price]]</f>
        <v>6780</v>
      </c>
      <c r="L339" s="7" t="e">
        <f>Table2[[#This Row],[Sales Revenue]]-Table2[[#This Row],[Total Cost After Product Percentage Calc]]</f>
        <v>#REF!</v>
      </c>
    </row>
    <row r="340" spans="1:12" ht="14.25" customHeight="1" x14ac:dyDescent="0.3">
      <c r="A340" s="1">
        <v>7</v>
      </c>
      <c r="B340" s="1">
        <v>569</v>
      </c>
      <c r="C340" s="1" t="s">
        <v>10</v>
      </c>
      <c r="D340" s="1" t="s">
        <v>21</v>
      </c>
      <c r="E340" s="1" t="s">
        <v>30</v>
      </c>
      <c r="F340" t="e">
        <f>TEXT(#REF!,"YYY")</f>
        <v>#REF!</v>
      </c>
      <c r="G340" t="e">
        <f>TEXT(#REF!,"MMM")</f>
        <v>#REF!</v>
      </c>
      <c r="H340" t="e">
        <f>TEXT(#REF!,"DDD")</f>
        <v>#REF!</v>
      </c>
      <c r="I340" t="e">
        <f>DATEDIF(#REF!,#REF!,"D")</f>
        <v>#REF!</v>
      </c>
      <c r="J340" s="7" t="e">
        <f>ROUND(Table2[[#This Row],[Quantity]]*Table2[[#This Row],[Unit Price]]*VLOOKUP(#REF!,Table_1[#All],2,FALSE),0)</f>
        <v>#REF!</v>
      </c>
      <c r="K340" s="7">
        <f>Table2[[#This Row],[Quantity]]*Table2[[#This Row],[Unit Price]]</f>
        <v>3983</v>
      </c>
      <c r="L340" s="7" t="e">
        <f>Table2[[#This Row],[Sales Revenue]]-Table2[[#This Row],[Total Cost After Product Percentage Calc]]</f>
        <v>#REF!</v>
      </c>
    </row>
    <row r="341" spans="1:12" ht="14.25" customHeight="1" x14ac:dyDescent="0.3">
      <c r="A341" s="1">
        <v>9</v>
      </c>
      <c r="B341" s="1">
        <v>185</v>
      </c>
      <c r="C341" s="1" t="s">
        <v>20</v>
      </c>
      <c r="D341" s="1" t="s">
        <v>11</v>
      </c>
      <c r="E341" s="1" t="s">
        <v>12</v>
      </c>
      <c r="F341" t="e">
        <f>TEXT(#REF!,"YYY")</f>
        <v>#REF!</v>
      </c>
      <c r="G341" t="e">
        <f>TEXT(#REF!,"MMM")</f>
        <v>#REF!</v>
      </c>
      <c r="H341" t="e">
        <f>TEXT(#REF!,"DDD")</f>
        <v>#REF!</v>
      </c>
      <c r="I341" t="e">
        <f>DATEDIF(#REF!,#REF!,"D")</f>
        <v>#REF!</v>
      </c>
      <c r="J341" s="7" t="e">
        <f>ROUND(Table2[[#This Row],[Quantity]]*Table2[[#This Row],[Unit Price]]*VLOOKUP(#REF!,Table_1[#All],2,FALSE),0)</f>
        <v>#REF!</v>
      </c>
      <c r="K341" s="7">
        <f>Table2[[#This Row],[Quantity]]*Table2[[#This Row],[Unit Price]]</f>
        <v>1665</v>
      </c>
      <c r="L341" s="7" t="e">
        <f>Table2[[#This Row],[Sales Revenue]]-Table2[[#This Row],[Total Cost After Product Percentage Calc]]</f>
        <v>#REF!</v>
      </c>
    </row>
    <row r="342" spans="1:12" ht="14.25" customHeight="1" x14ac:dyDescent="0.3">
      <c r="A342" s="1">
        <v>8</v>
      </c>
      <c r="B342" s="1">
        <v>405</v>
      </c>
      <c r="C342" s="1" t="s">
        <v>10</v>
      </c>
      <c r="D342" s="1" t="s">
        <v>31</v>
      </c>
      <c r="E342" s="1" t="s">
        <v>14</v>
      </c>
      <c r="F342" t="e">
        <f>TEXT(#REF!,"YYY")</f>
        <v>#REF!</v>
      </c>
      <c r="G342" t="e">
        <f>TEXT(#REF!,"MMM")</f>
        <v>#REF!</v>
      </c>
      <c r="H342" t="e">
        <f>TEXT(#REF!,"DDD")</f>
        <v>#REF!</v>
      </c>
      <c r="I342" t="e">
        <f>DATEDIF(#REF!,#REF!,"D")</f>
        <v>#REF!</v>
      </c>
      <c r="J342" s="7" t="e">
        <f>ROUND(Table2[[#This Row],[Quantity]]*Table2[[#This Row],[Unit Price]]*VLOOKUP(#REF!,Table_1[#All],2,FALSE),0)</f>
        <v>#REF!</v>
      </c>
      <c r="K342" s="7">
        <f>Table2[[#This Row],[Quantity]]*Table2[[#This Row],[Unit Price]]</f>
        <v>3240</v>
      </c>
      <c r="L342" s="7" t="e">
        <f>Table2[[#This Row],[Sales Revenue]]-Table2[[#This Row],[Total Cost After Product Percentage Calc]]</f>
        <v>#REF!</v>
      </c>
    </row>
    <row r="343" spans="1:12" ht="14.25" customHeight="1" x14ac:dyDescent="0.3">
      <c r="A343" s="1">
        <v>10</v>
      </c>
      <c r="B343" s="1">
        <v>923</v>
      </c>
      <c r="C343" s="1" t="s">
        <v>10</v>
      </c>
      <c r="D343" s="1" t="s">
        <v>16</v>
      </c>
      <c r="E343" s="1" t="s">
        <v>22</v>
      </c>
      <c r="F343" t="e">
        <f>TEXT(#REF!,"YYY")</f>
        <v>#REF!</v>
      </c>
      <c r="G343" t="e">
        <f>TEXT(#REF!,"MMM")</f>
        <v>#REF!</v>
      </c>
      <c r="H343" t="e">
        <f>TEXT(#REF!,"DDD")</f>
        <v>#REF!</v>
      </c>
      <c r="I343" t="e">
        <f>DATEDIF(#REF!,#REF!,"D")</f>
        <v>#REF!</v>
      </c>
      <c r="J343" s="7" t="e">
        <f>ROUND(Table2[[#This Row],[Quantity]]*Table2[[#This Row],[Unit Price]]*VLOOKUP(#REF!,Table_1[#All],2,FALSE),0)</f>
        <v>#REF!</v>
      </c>
      <c r="K343" s="7">
        <f>Table2[[#This Row],[Quantity]]*Table2[[#This Row],[Unit Price]]</f>
        <v>9230</v>
      </c>
      <c r="L343" s="7" t="e">
        <f>Table2[[#This Row],[Sales Revenue]]-Table2[[#This Row],[Total Cost After Product Percentage Calc]]</f>
        <v>#REF!</v>
      </c>
    </row>
    <row r="344" spans="1:12" ht="14.25" customHeight="1" x14ac:dyDescent="0.3">
      <c r="A344" s="1">
        <v>10</v>
      </c>
      <c r="B344" s="1">
        <v>325</v>
      </c>
      <c r="C344" s="1" t="s">
        <v>20</v>
      </c>
      <c r="D344" s="1" t="s">
        <v>24</v>
      </c>
      <c r="E344" s="1" t="s">
        <v>30</v>
      </c>
      <c r="F344" t="e">
        <f>TEXT(#REF!,"YYY")</f>
        <v>#REF!</v>
      </c>
      <c r="G344" t="e">
        <f>TEXT(#REF!,"MMM")</f>
        <v>#REF!</v>
      </c>
      <c r="H344" t="e">
        <f>TEXT(#REF!,"DDD")</f>
        <v>#REF!</v>
      </c>
      <c r="I344" t="e">
        <f>DATEDIF(#REF!,#REF!,"D")</f>
        <v>#REF!</v>
      </c>
      <c r="J344" s="7" t="e">
        <f>ROUND(Table2[[#This Row],[Quantity]]*Table2[[#This Row],[Unit Price]]*VLOOKUP(#REF!,Table_1[#All],2,FALSE),0)</f>
        <v>#REF!</v>
      </c>
      <c r="K344" s="7">
        <f>Table2[[#This Row],[Quantity]]*Table2[[#This Row],[Unit Price]]</f>
        <v>3250</v>
      </c>
      <c r="L344" s="7" t="e">
        <f>Table2[[#This Row],[Sales Revenue]]-Table2[[#This Row],[Total Cost After Product Percentage Calc]]</f>
        <v>#REF!</v>
      </c>
    </row>
    <row r="345" spans="1:12" ht="14.25" customHeight="1" x14ac:dyDescent="0.3">
      <c r="A345" s="1">
        <v>6</v>
      </c>
      <c r="B345" s="1">
        <v>564</v>
      </c>
      <c r="C345" s="1" t="s">
        <v>10</v>
      </c>
      <c r="D345" s="1" t="s">
        <v>11</v>
      </c>
      <c r="E345" s="1" t="s">
        <v>14</v>
      </c>
      <c r="F345" t="e">
        <f>TEXT(#REF!,"YYY")</f>
        <v>#REF!</v>
      </c>
      <c r="G345" t="e">
        <f>TEXT(#REF!,"MMM")</f>
        <v>#REF!</v>
      </c>
      <c r="H345" t="e">
        <f>TEXT(#REF!,"DDD")</f>
        <v>#REF!</v>
      </c>
      <c r="I345" t="e">
        <f>DATEDIF(#REF!,#REF!,"D")</f>
        <v>#REF!</v>
      </c>
      <c r="J345" s="7" t="e">
        <f>ROUND(Table2[[#This Row],[Quantity]]*Table2[[#This Row],[Unit Price]]*VLOOKUP(#REF!,Table_1[#All],2,FALSE),0)</f>
        <v>#REF!</v>
      </c>
      <c r="K345" s="7">
        <f>Table2[[#This Row],[Quantity]]*Table2[[#This Row],[Unit Price]]</f>
        <v>3384</v>
      </c>
      <c r="L345" s="7" t="e">
        <f>Table2[[#This Row],[Sales Revenue]]-Table2[[#This Row],[Total Cost After Product Percentage Calc]]</f>
        <v>#REF!</v>
      </c>
    </row>
    <row r="346" spans="1:12" ht="14.25" customHeight="1" x14ac:dyDescent="0.3">
      <c r="A346" s="1">
        <v>2</v>
      </c>
      <c r="B346" s="1">
        <v>236</v>
      </c>
      <c r="C346" s="1" t="s">
        <v>20</v>
      </c>
      <c r="D346" s="1" t="s">
        <v>11</v>
      </c>
      <c r="E346" s="1" t="s">
        <v>12</v>
      </c>
      <c r="F346" t="e">
        <f>TEXT(#REF!,"YYY")</f>
        <v>#REF!</v>
      </c>
      <c r="G346" t="e">
        <f>TEXT(#REF!,"MMM")</f>
        <v>#REF!</v>
      </c>
      <c r="H346" t="e">
        <f>TEXT(#REF!,"DDD")</f>
        <v>#REF!</v>
      </c>
      <c r="I346" t="e">
        <f>DATEDIF(#REF!,#REF!,"D")</f>
        <v>#REF!</v>
      </c>
      <c r="J346" s="7" t="e">
        <f>ROUND(Table2[[#This Row],[Quantity]]*Table2[[#This Row],[Unit Price]]*VLOOKUP(#REF!,Table_1[#All],2,FALSE),0)</f>
        <v>#REF!</v>
      </c>
      <c r="K346" s="7">
        <f>Table2[[#This Row],[Quantity]]*Table2[[#This Row],[Unit Price]]</f>
        <v>472</v>
      </c>
      <c r="L346" s="7" t="e">
        <f>Table2[[#This Row],[Sales Revenue]]-Table2[[#This Row],[Total Cost After Product Percentage Calc]]</f>
        <v>#REF!</v>
      </c>
    </row>
    <row r="347" spans="1:12" ht="14.25" customHeight="1" x14ac:dyDescent="0.3">
      <c r="A347" s="1">
        <v>1</v>
      </c>
      <c r="B347" s="1">
        <v>741</v>
      </c>
      <c r="C347" s="1" t="s">
        <v>10</v>
      </c>
      <c r="D347" s="1" t="s">
        <v>16</v>
      </c>
      <c r="E347" s="1" t="s">
        <v>22</v>
      </c>
      <c r="F347" t="e">
        <f>TEXT(#REF!,"YYY")</f>
        <v>#REF!</v>
      </c>
      <c r="G347" t="e">
        <f>TEXT(#REF!,"MMM")</f>
        <v>#REF!</v>
      </c>
      <c r="H347" t="e">
        <f>TEXT(#REF!,"DDD")</f>
        <v>#REF!</v>
      </c>
      <c r="I347" t="e">
        <f>DATEDIF(#REF!,#REF!,"D")</f>
        <v>#REF!</v>
      </c>
      <c r="J347" s="7" t="e">
        <f>ROUND(Table2[[#This Row],[Quantity]]*Table2[[#This Row],[Unit Price]]*VLOOKUP(#REF!,Table_1[#All],2,FALSE),0)</f>
        <v>#REF!</v>
      </c>
      <c r="K347" s="7">
        <f>Table2[[#This Row],[Quantity]]*Table2[[#This Row],[Unit Price]]</f>
        <v>741</v>
      </c>
      <c r="L347" s="7" t="e">
        <f>Table2[[#This Row],[Sales Revenue]]-Table2[[#This Row],[Total Cost After Product Percentage Calc]]</f>
        <v>#REF!</v>
      </c>
    </row>
    <row r="348" spans="1:12" ht="14.25" customHeight="1" x14ac:dyDescent="0.3">
      <c r="A348" s="1">
        <v>6</v>
      </c>
      <c r="B348" s="1">
        <v>992</v>
      </c>
      <c r="C348" s="1" t="s">
        <v>20</v>
      </c>
      <c r="D348" s="1" t="s">
        <v>16</v>
      </c>
      <c r="E348" s="1" t="s">
        <v>12</v>
      </c>
      <c r="F348" t="e">
        <f>TEXT(#REF!,"YYY")</f>
        <v>#REF!</v>
      </c>
      <c r="G348" t="e">
        <f>TEXT(#REF!,"MMM")</f>
        <v>#REF!</v>
      </c>
      <c r="H348" t="e">
        <f>TEXT(#REF!,"DDD")</f>
        <v>#REF!</v>
      </c>
      <c r="I348" t="e">
        <f>DATEDIF(#REF!,#REF!,"D")</f>
        <v>#REF!</v>
      </c>
      <c r="J348" s="7" t="e">
        <f>ROUND(Table2[[#This Row],[Quantity]]*Table2[[#This Row],[Unit Price]]*VLOOKUP(#REF!,Table_1[#All],2,FALSE),0)</f>
        <v>#REF!</v>
      </c>
      <c r="K348" s="7">
        <f>Table2[[#This Row],[Quantity]]*Table2[[#This Row],[Unit Price]]</f>
        <v>5952</v>
      </c>
      <c r="L348" s="7" t="e">
        <f>Table2[[#This Row],[Sales Revenue]]-Table2[[#This Row],[Total Cost After Product Percentage Calc]]</f>
        <v>#REF!</v>
      </c>
    </row>
    <row r="349" spans="1:12" ht="14.25" customHeight="1" x14ac:dyDescent="0.3">
      <c r="A349" s="1">
        <v>5</v>
      </c>
      <c r="B349" s="1">
        <v>55</v>
      </c>
      <c r="C349" s="1" t="s">
        <v>10</v>
      </c>
      <c r="D349" s="1" t="s">
        <v>11</v>
      </c>
      <c r="E349" s="1" t="s">
        <v>30</v>
      </c>
      <c r="F349" t="e">
        <f>TEXT(#REF!,"YYY")</f>
        <v>#REF!</v>
      </c>
      <c r="G349" t="e">
        <f>TEXT(#REF!,"MMM")</f>
        <v>#REF!</v>
      </c>
      <c r="H349" t="e">
        <f>TEXT(#REF!,"DDD")</f>
        <v>#REF!</v>
      </c>
      <c r="I349" t="e">
        <f>DATEDIF(#REF!,#REF!,"D")</f>
        <v>#REF!</v>
      </c>
      <c r="J349" s="7" t="e">
        <f>ROUND(Table2[[#This Row],[Quantity]]*Table2[[#This Row],[Unit Price]]*VLOOKUP(#REF!,Table_1[#All],2,FALSE),0)</f>
        <v>#REF!</v>
      </c>
      <c r="K349" s="7">
        <f>Table2[[#This Row],[Quantity]]*Table2[[#This Row],[Unit Price]]</f>
        <v>275</v>
      </c>
      <c r="L349" s="7" t="e">
        <f>Table2[[#This Row],[Sales Revenue]]-Table2[[#This Row],[Total Cost After Product Percentage Calc]]</f>
        <v>#REF!</v>
      </c>
    </row>
    <row r="350" spans="1:12" ht="14.25" customHeight="1" x14ac:dyDescent="0.3">
      <c r="A350" s="1">
        <v>7</v>
      </c>
      <c r="B350" s="1">
        <v>216</v>
      </c>
      <c r="C350" s="1" t="s">
        <v>20</v>
      </c>
      <c r="D350" s="1" t="s">
        <v>21</v>
      </c>
      <c r="E350" s="1" t="s">
        <v>14</v>
      </c>
      <c r="F350" t="e">
        <f>TEXT(#REF!,"YYY")</f>
        <v>#REF!</v>
      </c>
      <c r="G350" t="e">
        <f>TEXT(#REF!,"MMM")</f>
        <v>#REF!</v>
      </c>
      <c r="H350" t="e">
        <f>TEXT(#REF!,"DDD")</f>
        <v>#REF!</v>
      </c>
      <c r="I350" t="e">
        <f>DATEDIF(#REF!,#REF!,"D")</f>
        <v>#REF!</v>
      </c>
      <c r="J350" s="7" t="e">
        <f>ROUND(Table2[[#This Row],[Quantity]]*Table2[[#This Row],[Unit Price]]*VLOOKUP(#REF!,Table_1[#All],2,FALSE),0)</f>
        <v>#REF!</v>
      </c>
      <c r="K350" s="7">
        <f>Table2[[#This Row],[Quantity]]*Table2[[#This Row],[Unit Price]]</f>
        <v>1512</v>
      </c>
      <c r="L350" s="7" t="e">
        <f>Table2[[#This Row],[Sales Revenue]]-Table2[[#This Row],[Total Cost After Product Percentage Calc]]</f>
        <v>#REF!</v>
      </c>
    </row>
    <row r="351" spans="1:12" ht="14.25" customHeight="1" x14ac:dyDescent="0.3">
      <c r="A351" s="1">
        <v>3</v>
      </c>
      <c r="B351" s="1">
        <v>375</v>
      </c>
      <c r="C351" s="1" t="s">
        <v>20</v>
      </c>
      <c r="D351" s="1" t="s">
        <v>31</v>
      </c>
      <c r="E351" s="1" t="s">
        <v>22</v>
      </c>
      <c r="F351" t="e">
        <f>TEXT(#REF!,"YYY")</f>
        <v>#REF!</v>
      </c>
      <c r="G351" t="e">
        <f>TEXT(#REF!,"MMM")</f>
        <v>#REF!</v>
      </c>
      <c r="H351" t="e">
        <f>TEXT(#REF!,"DDD")</f>
        <v>#REF!</v>
      </c>
      <c r="I351" t="e">
        <f>DATEDIF(#REF!,#REF!,"D")</f>
        <v>#REF!</v>
      </c>
      <c r="J351" s="7" t="e">
        <f>ROUND(Table2[[#This Row],[Quantity]]*Table2[[#This Row],[Unit Price]]*VLOOKUP(#REF!,Table_1[#All],2,FALSE),0)</f>
        <v>#REF!</v>
      </c>
      <c r="K351" s="7">
        <f>Table2[[#This Row],[Quantity]]*Table2[[#This Row],[Unit Price]]</f>
        <v>1125</v>
      </c>
      <c r="L351" s="7" t="e">
        <f>Table2[[#This Row],[Sales Revenue]]-Table2[[#This Row],[Total Cost After Product Percentage Calc]]</f>
        <v>#REF!</v>
      </c>
    </row>
    <row r="352" spans="1:12" ht="14.25" customHeight="1" x14ac:dyDescent="0.3">
      <c r="A352" s="1">
        <v>10</v>
      </c>
      <c r="B352" s="1">
        <v>503</v>
      </c>
      <c r="C352" s="1" t="s">
        <v>20</v>
      </c>
      <c r="D352" s="1" t="s">
        <v>21</v>
      </c>
      <c r="E352" s="1" t="s">
        <v>30</v>
      </c>
      <c r="F352" t="e">
        <f>TEXT(#REF!,"YYY")</f>
        <v>#REF!</v>
      </c>
      <c r="G352" t="e">
        <f>TEXT(#REF!,"MMM")</f>
        <v>#REF!</v>
      </c>
      <c r="H352" t="e">
        <f>TEXT(#REF!,"DDD")</f>
        <v>#REF!</v>
      </c>
      <c r="I352" t="e">
        <f>DATEDIF(#REF!,#REF!,"D")</f>
        <v>#REF!</v>
      </c>
      <c r="J352" s="7" t="e">
        <f>ROUND(Table2[[#This Row],[Quantity]]*Table2[[#This Row],[Unit Price]]*VLOOKUP(#REF!,Table_1[#All],2,FALSE),0)</f>
        <v>#REF!</v>
      </c>
      <c r="K352" s="7">
        <f>Table2[[#This Row],[Quantity]]*Table2[[#This Row],[Unit Price]]</f>
        <v>5030</v>
      </c>
      <c r="L352" s="7" t="e">
        <f>Table2[[#This Row],[Sales Revenue]]-Table2[[#This Row],[Total Cost After Product Percentage Calc]]</f>
        <v>#REF!</v>
      </c>
    </row>
    <row r="353" spans="1:12" ht="14.25" customHeight="1" x14ac:dyDescent="0.3">
      <c r="A353" s="1">
        <v>6</v>
      </c>
      <c r="B353" s="1">
        <v>974</v>
      </c>
      <c r="C353" s="1" t="s">
        <v>10</v>
      </c>
      <c r="D353" s="1" t="s">
        <v>16</v>
      </c>
      <c r="E353" s="1" t="s">
        <v>14</v>
      </c>
      <c r="F353" t="e">
        <f>TEXT(#REF!,"YYY")</f>
        <v>#REF!</v>
      </c>
      <c r="G353" t="e">
        <f>TEXT(#REF!,"MMM")</f>
        <v>#REF!</v>
      </c>
      <c r="H353" t="e">
        <f>TEXT(#REF!,"DDD")</f>
        <v>#REF!</v>
      </c>
      <c r="I353" t="e">
        <f>DATEDIF(#REF!,#REF!,"D")</f>
        <v>#REF!</v>
      </c>
      <c r="J353" s="7" t="e">
        <f>ROUND(Table2[[#This Row],[Quantity]]*Table2[[#This Row],[Unit Price]]*VLOOKUP(#REF!,Table_1[#All],2,FALSE),0)</f>
        <v>#REF!</v>
      </c>
      <c r="K353" s="7">
        <f>Table2[[#This Row],[Quantity]]*Table2[[#This Row],[Unit Price]]</f>
        <v>5844</v>
      </c>
      <c r="L353" s="7" t="e">
        <f>Table2[[#This Row],[Sales Revenue]]-Table2[[#This Row],[Total Cost After Product Percentage Calc]]</f>
        <v>#REF!</v>
      </c>
    </row>
    <row r="354" spans="1:12" ht="14.25" customHeight="1" x14ac:dyDescent="0.3">
      <c r="A354" s="1">
        <v>3</v>
      </c>
      <c r="B354" s="1">
        <v>486</v>
      </c>
      <c r="C354" s="1" t="s">
        <v>10</v>
      </c>
      <c r="D354" s="1" t="s">
        <v>16</v>
      </c>
      <c r="E354" s="1" t="s">
        <v>30</v>
      </c>
      <c r="F354" t="e">
        <f>TEXT(#REF!,"YYY")</f>
        <v>#REF!</v>
      </c>
      <c r="G354" t="e">
        <f>TEXT(#REF!,"MMM")</f>
        <v>#REF!</v>
      </c>
      <c r="H354" t="e">
        <f>TEXT(#REF!,"DDD")</f>
        <v>#REF!</v>
      </c>
      <c r="I354" t="e">
        <f>DATEDIF(#REF!,#REF!,"D")</f>
        <v>#REF!</v>
      </c>
      <c r="J354" s="7" t="e">
        <f>ROUND(Table2[[#This Row],[Quantity]]*Table2[[#This Row],[Unit Price]]*VLOOKUP(#REF!,Table_1[#All],2,FALSE),0)</f>
        <v>#REF!</v>
      </c>
      <c r="K354" s="7">
        <f>Table2[[#This Row],[Quantity]]*Table2[[#This Row],[Unit Price]]</f>
        <v>1458</v>
      </c>
      <c r="L354" s="7" t="e">
        <f>Table2[[#This Row],[Sales Revenue]]-Table2[[#This Row],[Total Cost After Product Percentage Calc]]</f>
        <v>#REF!</v>
      </c>
    </row>
    <row r="355" spans="1:12" ht="14.25" customHeight="1" x14ac:dyDescent="0.3">
      <c r="A355" s="1">
        <v>5</v>
      </c>
      <c r="B355" s="1">
        <v>803</v>
      </c>
      <c r="C355" s="1" t="s">
        <v>10</v>
      </c>
      <c r="D355" s="1" t="s">
        <v>24</v>
      </c>
      <c r="E355" s="1" t="s">
        <v>14</v>
      </c>
      <c r="F355" t="e">
        <f>TEXT(#REF!,"YYY")</f>
        <v>#REF!</v>
      </c>
      <c r="G355" t="e">
        <f>TEXT(#REF!,"MMM")</f>
        <v>#REF!</v>
      </c>
      <c r="H355" t="e">
        <f>TEXT(#REF!,"DDD")</f>
        <v>#REF!</v>
      </c>
      <c r="I355" t="e">
        <f>DATEDIF(#REF!,#REF!,"D")</f>
        <v>#REF!</v>
      </c>
      <c r="J355" s="7" t="e">
        <f>ROUND(Table2[[#This Row],[Quantity]]*Table2[[#This Row],[Unit Price]]*VLOOKUP(#REF!,Table_1[#All],2,FALSE),0)</f>
        <v>#REF!</v>
      </c>
      <c r="K355" s="7">
        <f>Table2[[#This Row],[Quantity]]*Table2[[#This Row],[Unit Price]]</f>
        <v>4015</v>
      </c>
      <c r="L355" s="7" t="e">
        <f>Table2[[#This Row],[Sales Revenue]]-Table2[[#This Row],[Total Cost After Product Percentage Calc]]</f>
        <v>#REF!</v>
      </c>
    </row>
    <row r="356" spans="1:12" ht="14.25" customHeight="1" x14ac:dyDescent="0.3">
      <c r="A356" s="1">
        <v>4</v>
      </c>
      <c r="B356" s="1">
        <v>176</v>
      </c>
      <c r="C356" s="1" t="s">
        <v>20</v>
      </c>
      <c r="D356" s="1" t="s">
        <v>11</v>
      </c>
      <c r="E356" s="1" t="s">
        <v>22</v>
      </c>
      <c r="F356" t="e">
        <f>TEXT(#REF!,"YYY")</f>
        <v>#REF!</v>
      </c>
      <c r="G356" t="e">
        <f>TEXT(#REF!,"MMM")</f>
        <v>#REF!</v>
      </c>
      <c r="H356" t="e">
        <f>TEXT(#REF!,"DDD")</f>
        <v>#REF!</v>
      </c>
      <c r="I356" t="e">
        <f>DATEDIF(#REF!,#REF!,"D")</f>
        <v>#REF!</v>
      </c>
      <c r="J356" s="7" t="e">
        <f>ROUND(Table2[[#This Row],[Quantity]]*Table2[[#This Row],[Unit Price]]*VLOOKUP(#REF!,Table_1[#All],2,FALSE),0)</f>
        <v>#REF!</v>
      </c>
      <c r="K356" s="7">
        <f>Table2[[#This Row],[Quantity]]*Table2[[#This Row],[Unit Price]]</f>
        <v>704</v>
      </c>
      <c r="L356" s="7" t="e">
        <f>Table2[[#This Row],[Sales Revenue]]-Table2[[#This Row],[Total Cost After Product Percentage Calc]]</f>
        <v>#REF!</v>
      </c>
    </row>
    <row r="357" spans="1:12" ht="14.25" customHeight="1" x14ac:dyDescent="0.3">
      <c r="A357" s="1">
        <v>4</v>
      </c>
      <c r="B357" s="1">
        <v>468</v>
      </c>
      <c r="C357" s="1" t="s">
        <v>20</v>
      </c>
      <c r="D357" s="1" t="s">
        <v>16</v>
      </c>
      <c r="E357" s="1" t="s">
        <v>12</v>
      </c>
      <c r="F357" t="e">
        <f>TEXT(#REF!,"YYY")</f>
        <v>#REF!</v>
      </c>
      <c r="G357" t="e">
        <f>TEXT(#REF!,"MMM")</f>
        <v>#REF!</v>
      </c>
      <c r="H357" t="e">
        <f>TEXT(#REF!,"DDD")</f>
        <v>#REF!</v>
      </c>
      <c r="I357" t="e">
        <f>DATEDIF(#REF!,#REF!,"D")</f>
        <v>#REF!</v>
      </c>
      <c r="J357" s="7" t="e">
        <f>ROUND(Table2[[#This Row],[Quantity]]*Table2[[#This Row],[Unit Price]]*VLOOKUP(#REF!,Table_1[#All],2,FALSE),0)</f>
        <v>#REF!</v>
      </c>
      <c r="K357" s="7">
        <f>Table2[[#This Row],[Quantity]]*Table2[[#This Row],[Unit Price]]</f>
        <v>1872</v>
      </c>
      <c r="L357" s="7" t="e">
        <f>Table2[[#This Row],[Sales Revenue]]-Table2[[#This Row],[Total Cost After Product Percentage Calc]]</f>
        <v>#REF!</v>
      </c>
    </row>
    <row r="358" spans="1:12" ht="14.25" customHeight="1" x14ac:dyDescent="0.3">
      <c r="A358" s="1">
        <v>3</v>
      </c>
      <c r="B358" s="1">
        <v>788</v>
      </c>
      <c r="C358" s="1" t="s">
        <v>10</v>
      </c>
      <c r="D358" s="1" t="s">
        <v>16</v>
      </c>
      <c r="E358" s="1" t="s">
        <v>14</v>
      </c>
      <c r="F358" t="e">
        <f>TEXT(#REF!,"YYY")</f>
        <v>#REF!</v>
      </c>
      <c r="G358" t="e">
        <f>TEXT(#REF!,"MMM")</f>
        <v>#REF!</v>
      </c>
      <c r="H358" t="e">
        <f>TEXT(#REF!,"DDD")</f>
        <v>#REF!</v>
      </c>
      <c r="I358" t="e">
        <f>DATEDIF(#REF!,#REF!,"D")</f>
        <v>#REF!</v>
      </c>
      <c r="J358" s="7" t="e">
        <f>ROUND(Table2[[#This Row],[Quantity]]*Table2[[#This Row],[Unit Price]]*VLOOKUP(#REF!,Table_1[#All],2,FALSE),0)</f>
        <v>#REF!</v>
      </c>
      <c r="K358" s="7">
        <f>Table2[[#This Row],[Quantity]]*Table2[[#This Row],[Unit Price]]</f>
        <v>2364</v>
      </c>
      <c r="L358" s="7" t="e">
        <f>Table2[[#This Row],[Sales Revenue]]-Table2[[#This Row],[Total Cost After Product Percentage Calc]]</f>
        <v>#REF!</v>
      </c>
    </row>
    <row r="359" spans="1:12" ht="14.25" customHeight="1" x14ac:dyDescent="0.3">
      <c r="A359" s="1">
        <v>8</v>
      </c>
      <c r="B359" s="1">
        <v>509</v>
      </c>
      <c r="C359" s="1" t="s">
        <v>10</v>
      </c>
      <c r="D359" s="1" t="s">
        <v>24</v>
      </c>
      <c r="E359" s="1" t="s">
        <v>14</v>
      </c>
      <c r="F359" t="e">
        <f>TEXT(#REF!,"YYY")</f>
        <v>#REF!</v>
      </c>
      <c r="G359" t="e">
        <f>TEXT(#REF!,"MMM")</f>
        <v>#REF!</v>
      </c>
      <c r="H359" t="e">
        <f>TEXT(#REF!,"DDD")</f>
        <v>#REF!</v>
      </c>
      <c r="I359" t="e">
        <f>DATEDIF(#REF!,#REF!,"D")</f>
        <v>#REF!</v>
      </c>
      <c r="J359" s="7" t="e">
        <f>ROUND(Table2[[#This Row],[Quantity]]*Table2[[#This Row],[Unit Price]]*VLOOKUP(#REF!,Table_1[#All],2,FALSE),0)</f>
        <v>#REF!</v>
      </c>
      <c r="K359" s="7">
        <f>Table2[[#This Row],[Quantity]]*Table2[[#This Row],[Unit Price]]</f>
        <v>4072</v>
      </c>
      <c r="L359" s="7" t="e">
        <f>Table2[[#This Row],[Sales Revenue]]-Table2[[#This Row],[Total Cost After Product Percentage Calc]]</f>
        <v>#REF!</v>
      </c>
    </row>
    <row r="360" spans="1:12" ht="14.25" customHeight="1" x14ac:dyDescent="0.3">
      <c r="A360" s="1">
        <v>2</v>
      </c>
      <c r="B360" s="1">
        <v>530</v>
      </c>
      <c r="C360" s="1" t="s">
        <v>20</v>
      </c>
      <c r="D360" s="1" t="s">
        <v>11</v>
      </c>
      <c r="E360" s="1" t="s">
        <v>30</v>
      </c>
      <c r="F360" t="e">
        <f>TEXT(#REF!,"YYY")</f>
        <v>#REF!</v>
      </c>
      <c r="G360" t="e">
        <f>TEXT(#REF!,"MMM")</f>
        <v>#REF!</v>
      </c>
      <c r="H360" t="e">
        <f>TEXT(#REF!,"DDD")</f>
        <v>#REF!</v>
      </c>
      <c r="I360" t="e">
        <f>DATEDIF(#REF!,#REF!,"D")</f>
        <v>#REF!</v>
      </c>
      <c r="J360" s="7" t="e">
        <f>ROUND(Table2[[#This Row],[Quantity]]*Table2[[#This Row],[Unit Price]]*VLOOKUP(#REF!,Table_1[#All],2,FALSE),0)</f>
        <v>#REF!</v>
      </c>
      <c r="K360" s="7">
        <f>Table2[[#This Row],[Quantity]]*Table2[[#This Row],[Unit Price]]</f>
        <v>1060</v>
      </c>
      <c r="L360" s="7" t="e">
        <f>Table2[[#This Row],[Sales Revenue]]-Table2[[#This Row],[Total Cost After Product Percentage Calc]]</f>
        <v>#REF!</v>
      </c>
    </row>
    <row r="361" spans="1:12" ht="14.25" customHeight="1" x14ac:dyDescent="0.3">
      <c r="A361" s="1">
        <v>7</v>
      </c>
      <c r="B361" s="1">
        <v>744</v>
      </c>
      <c r="C361" s="1" t="s">
        <v>10</v>
      </c>
      <c r="D361" s="1" t="s">
        <v>21</v>
      </c>
      <c r="E361" s="1" t="s">
        <v>14</v>
      </c>
      <c r="F361" t="e">
        <f>TEXT(#REF!,"YYY")</f>
        <v>#REF!</v>
      </c>
      <c r="G361" t="e">
        <f>TEXT(#REF!,"MMM")</f>
        <v>#REF!</v>
      </c>
      <c r="H361" t="e">
        <f>TEXT(#REF!,"DDD")</f>
        <v>#REF!</v>
      </c>
      <c r="I361" t="e">
        <f>DATEDIF(#REF!,#REF!,"D")</f>
        <v>#REF!</v>
      </c>
      <c r="J361" s="7" t="e">
        <f>ROUND(Table2[[#This Row],[Quantity]]*Table2[[#This Row],[Unit Price]]*VLOOKUP(#REF!,Table_1[#All],2,FALSE),0)</f>
        <v>#REF!</v>
      </c>
      <c r="K361" s="7">
        <f>Table2[[#This Row],[Quantity]]*Table2[[#This Row],[Unit Price]]</f>
        <v>5208</v>
      </c>
      <c r="L361" s="7" t="e">
        <f>Table2[[#This Row],[Sales Revenue]]-Table2[[#This Row],[Total Cost After Product Percentage Calc]]</f>
        <v>#REF!</v>
      </c>
    </row>
    <row r="362" spans="1:12" ht="14.25" customHeight="1" x14ac:dyDescent="0.3">
      <c r="A362" s="1">
        <v>4</v>
      </c>
      <c r="B362" s="1">
        <v>444</v>
      </c>
      <c r="C362" s="1" t="s">
        <v>20</v>
      </c>
      <c r="D362" s="1" t="s">
        <v>24</v>
      </c>
      <c r="E362" s="1" t="s">
        <v>12</v>
      </c>
      <c r="F362" t="e">
        <f>TEXT(#REF!,"YYY")</f>
        <v>#REF!</v>
      </c>
      <c r="G362" t="e">
        <f>TEXT(#REF!,"MMM")</f>
        <v>#REF!</v>
      </c>
      <c r="H362" t="e">
        <f>TEXT(#REF!,"DDD")</f>
        <v>#REF!</v>
      </c>
      <c r="I362" t="e">
        <f>DATEDIF(#REF!,#REF!,"D")</f>
        <v>#REF!</v>
      </c>
      <c r="J362" s="7" t="e">
        <f>ROUND(Table2[[#This Row],[Quantity]]*Table2[[#This Row],[Unit Price]]*VLOOKUP(#REF!,Table_1[#All],2,FALSE),0)</f>
        <v>#REF!</v>
      </c>
      <c r="K362" s="7">
        <f>Table2[[#This Row],[Quantity]]*Table2[[#This Row],[Unit Price]]</f>
        <v>1776</v>
      </c>
      <c r="L362" s="7" t="e">
        <f>Table2[[#This Row],[Sales Revenue]]-Table2[[#This Row],[Total Cost After Product Percentage Calc]]</f>
        <v>#REF!</v>
      </c>
    </row>
    <row r="363" spans="1:12" ht="14.25" customHeight="1" x14ac:dyDescent="0.3">
      <c r="A363" s="1">
        <v>7</v>
      </c>
      <c r="B363" s="1">
        <v>474</v>
      </c>
      <c r="C363" s="1" t="s">
        <v>10</v>
      </c>
      <c r="D363" s="1" t="s">
        <v>21</v>
      </c>
      <c r="E363" s="1" t="s">
        <v>12</v>
      </c>
      <c r="F363" t="e">
        <f>TEXT(#REF!,"YYY")</f>
        <v>#REF!</v>
      </c>
      <c r="G363" t="e">
        <f>TEXT(#REF!,"MMM")</f>
        <v>#REF!</v>
      </c>
      <c r="H363" t="e">
        <f>TEXT(#REF!,"DDD")</f>
        <v>#REF!</v>
      </c>
      <c r="I363" t="e">
        <f>DATEDIF(#REF!,#REF!,"D")</f>
        <v>#REF!</v>
      </c>
      <c r="J363" s="7" t="e">
        <f>ROUND(Table2[[#This Row],[Quantity]]*Table2[[#This Row],[Unit Price]]*VLOOKUP(#REF!,Table_1[#All],2,FALSE),0)</f>
        <v>#REF!</v>
      </c>
      <c r="K363" s="7">
        <f>Table2[[#This Row],[Quantity]]*Table2[[#This Row],[Unit Price]]</f>
        <v>3318</v>
      </c>
      <c r="L363" s="7" t="e">
        <f>Table2[[#This Row],[Sales Revenue]]-Table2[[#This Row],[Total Cost After Product Percentage Calc]]</f>
        <v>#REF!</v>
      </c>
    </row>
    <row r="364" spans="1:12" ht="14.25" customHeight="1" x14ac:dyDescent="0.3">
      <c r="A364" s="1">
        <v>8</v>
      </c>
      <c r="B364" s="1">
        <v>731</v>
      </c>
      <c r="C364" s="1" t="s">
        <v>10</v>
      </c>
      <c r="D364" s="1" t="s">
        <v>31</v>
      </c>
      <c r="E364" s="1" t="s">
        <v>30</v>
      </c>
      <c r="F364" t="e">
        <f>TEXT(#REF!,"YYY")</f>
        <v>#REF!</v>
      </c>
      <c r="G364" t="e">
        <f>TEXT(#REF!,"MMM")</f>
        <v>#REF!</v>
      </c>
      <c r="H364" t="e">
        <f>TEXT(#REF!,"DDD")</f>
        <v>#REF!</v>
      </c>
      <c r="I364" t="e">
        <f>DATEDIF(#REF!,#REF!,"D")</f>
        <v>#REF!</v>
      </c>
      <c r="J364" s="7" t="e">
        <f>ROUND(Table2[[#This Row],[Quantity]]*Table2[[#This Row],[Unit Price]]*VLOOKUP(#REF!,Table_1[#All],2,FALSE),0)</f>
        <v>#REF!</v>
      </c>
      <c r="K364" s="7">
        <f>Table2[[#This Row],[Quantity]]*Table2[[#This Row],[Unit Price]]</f>
        <v>5848</v>
      </c>
      <c r="L364" s="7" t="e">
        <f>Table2[[#This Row],[Sales Revenue]]-Table2[[#This Row],[Total Cost After Product Percentage Calc]]</f>
        <v>#REF!</v>
      </c>
    </row>
    <row r="365" spans="1:12" ht="14.25" customHeight="1" x14ac:dyDescent="0.3">
      <c r="A365" s="1">
        <v>2</v>
      </c>
      <c r="B365" s="1">
        <v>288</v>
      </c>
      <c r="C365" s="1" t="s">
        <v>10</v>
      </c>
      <c r="D365" s="1" t="s">
        <v>31</v>
      </c>
      <c r="E365" s="1" t="s">
        <v>30</v>
      </c>
      <c r="F365" t="e">
        <f>TEXT(#REF!,"YYY")</f>
        <v>#REF!</v>
      </c>
      <c r="G365" t="e">
        <f>TEXT(#REF!,"MMM")</f>
        <v>#REF!</v>
      </c>
      <c r="H365" t="e">
        <f>TEXT(#REF!,"DDD")</f>
        <v>#REF!</v>
      </c>
      <c r="I365" t="e">
        <f>DATEDIF(#REF!,#REF!,"D")</f>
        <v>#REF!</v>
      </c>
      <c r="J365" s="7" t="e">
        <f>ROUND(Table2[[#This Row],[Quantity]]*Table2[[#This Row],[Unit Price]]*VLOOKUP(#REF!,Table_1[#All],2,FALSE),0)</f>
        <v>#REF!</v>
      </c>
      <c r="K365" s="7">
        <f>Table2[[#This Row],[Quantity]]*Table2[[#This Row],[Unit Price]]</f>
        <v>576</v>
      </c>
      <c r="L365" s="7" t="e">
        <f>Table2[[#This Row],[Sales Revenue]]-Table2[[#This Row],[Total Cost After Product Percentage Calc]]</f>
        <v>#REF!</v>
      </c>
    </row>
    <row r="366" spans="1:12" ht="14.25" customHeight="1" x14ac:dyDescent="0.3">
      <c r="A366" s="1">
        <v>8</v>
      </c>
      <c r="B366" s="1">
        <v>179</v>
      </c>
      <c r="C366" s="1" t="s">
        <v>20</v>
      </c>
      <c r="D366" s="1" t="s">
        <v>24</v>
      </c>
      <c r="E366" s="1" t="s">
        <v>22</v>
      </c>
      <c r="F366" t="e">
        <f>TEXT(#REF!,"YYY")</f>
        <v>#REF!</v>
      </c>
      <c r="G366" t="e">
        <f>TEXT(#REF!,"MMM")</f>
        <v>#REF!</v>
      </c>
      <c r="H366" t="e">
        <f>TEXT(#REF!,"DDD")</f>
        <v>#REF!</v>
      </c>
      <c r="I366" t="e">
        <f>DATEDIF(#REF!,#REF!,"D")</f>
        <v>#REF!</v>
      </c>
      <c r="J366" s="7" t="e">
        <f>ROUND(Table2[[#This Row],[Quantity]]*Table2[[#This Row],[Unit Price]]*VLOOKUP(#REF!,Table_1[#All],2,FALSE),0)</f>
        <v>#REF!</v>
      </c>
      <c r="K366" s="7">
        <f>Table2[[#This Row],[Quantity]]*Table2[[#This Row],[Unit Price]]</f>
        <v>1432</v>
      </c>
      <c r="L366" s="7" t="e">
        <f>Table2[[#This Row],[Sales Revenue]]-Table2[[#This Row],[Total Cost After Product Percentage Calc]]</f>
        <v>#REF!</v>
      </c>
    </row>
    <row r="367" spans="1:12" ht="14.25" customHeight="1" x14ac:dyDescent="0.3">
      <c r="A367" s="1">
        <v>6</v>
      </c>
      <c r="B367" s="1">
        <v>788</v>
      </c>
      <c r="C367" s="1" t="s">
        <v>10</v>
      </c>
      <c r="D367" s="1" t="s">
        <v>16</v>
      </c>
      <c r="E367" s="1" t="s">
        <v>30</v>
      </c>
      <c r="F367" t="e">
        <f>TEXT(#REF!,"YYY")</f>
        <v>#REF!</v>
      </c>
      <c r="G367" t="e">
        <f>TEXT(#REF!,"MMM")</f>
        <v>#REF!</v>
      </c>
      <c r="H367" t="e">
        <f>TEXT(#REF!,"DDD")</f>
        <v>#REF!</v>
      </c>
      <c r="I367" t="e">
        <f>DATEDIF(#REF!,#REF!,"D")</f>
        <v>#REF!</v>
      </c>
      <c r="J367" s="7" t="e">
        <f>ROUND(Table2[[#This Row],[Quantity]]*Table2[[#This Row],[Unit Price]]*VLOOKUP(#REF!,Table_1[#All],2,FALSE),0)</f>
        <v>#REF!</v>
      </c>
      <c r="K367" s="7">
        <f>Table2[[#This Row],[Quantity]]*Table2[[#This Row],[Unit Price]]</f>
        <v>4728</v>
      </c>
      <c r="L367" s="7" t="e">
        <f>Table2[[#This Row],[Sales Revenue]]-Table2[[#This Row],[Total Cost After Product Percentage Calc]]</f>
        <v>#REF!</v>
      </c>
    </row>
    <row r="368" spans="1:12" ht="14.25" customHeight="1" x14ac:dyDescent="0.3">
      <c r="A368" s="1">
        <v>3</v>
      </c>
      <c r="B368" s="1">
        <v>949</v>
      </c>
      <c r="C368" s="1" t="s">
        <v>10</v>
      </c>
      <c r="D368" s="1" t="s">
        <v>24</v>
      </c>
      <c r="E368" s="1" t="s">
        <v>22</v>
      </c>
      <c r="F368" t="e">
        <f>TEXT(#REF!,"YYY")</f>
        <v>#REF!</v>
      </c>
      <c r="G368" t="e">
        <f>TEXT(#REF!,"MMM")</f>
        <v>#REF!</v>
      </c>
      <c r="H368" t="e">
        <f>TEXT(#REF!,"DDD")</f>
        <v>#REF!</v>
      </c>
      <c r="I368" t="e">
        <f>DATEDIF(#REF!,#REF!,"D")</f>
        <v>#REF!</v>
      </c>
      <c r="J368" s="7" t="e">
        <f>ROUND(Table2[[#This Row],[Quantity]]*Table2[[#This Row],[Unit Price]]*VLOOKUP(#REF!,Table_1[#All],2,FALSE),0)</f>
        <v>#REF!</v>
      </c>
      <c r="K368" s="7">
        <f>Table2[[#This Row],[Quantity]]*Table2[[#This Row],[Unit Price]]</f>
        <v>2847</v>
      </c>
      <c r="L368" s="7" t="e">
        <f>Table2[[#This Row],[Sales Revenue]]-Table2[[#This Row],[Total Cost After Product Percentage Calc]]</f>
        <v>#REF!</v>
      </c>
    </row>
    <row r="369" spans="1:12" ht="14.25" customHeight="1" x14ac:dyDescent="0.3">
      <c r="A369" s="1">
        <v>8</v>
      </c>
      <c r="B369" s="1">
        <v>137</v>
      </c>
      <c r="C369" s="1" t="s">
        <v>10</v>
      </c>
      <c r="D369" s="1" t="s">
        <v>21</v>
      </c>
      <c r="E369" s="1" t="s">
        <v>12</v>
      </c>
      <c r="F369" t="e">
        <f>TEXT(#REF!,"YYY")</f>
        <v>#REF!</v>
      </c>
      <c r="G369" t="e">
        <f>TEXT(#REF!,"MMM")</f>
        <v>#REF!</v>
      </c>
      <c r="H369" t="e">
        <f>TEXT(#REF!,"DDD")</f>
        <v>#REF!</v>
      </c>
      <c r="I369" t="e">
        <f>DATEDIF(#REF!,#REF!,"D")</f>
        <v>#REF!</v>
      </c>
      <c r="J369" s="7" t="e">
        <f>ROUND(Table2[[#This Row],[Quantity]]*Table2[[#This Row],[Unit Price]]*VLOOKUP(#REF!,Table_1[#All],2,FALSE),0)</f>
        <v>#REF!</v>
      </c>
      <c r="K369" s="7">
        <f>Table2[[#This Row],[Quantity]]*Table2[[#This Row],[Unit Price]]</f>
        <v>1096</v>
      </c>
      <c r="L369" s="7" t="e">
        <f>Table2[[#This Row],[Sales Revenue]]-Table2[[#This Row],[Total Cost After Product Percentage Calc]]</f>
        <v>#REF!</v>
      </c>
    </row>
    <row r="370" spans="1:12" ht="14.25" customHeight="1" x14ac:dyDescent="0.3">
      <c r="A370" s="1">
        <v>2</v>
      </c>
      <c r="B370" s="1">
        <v>968</v>
      </c>
      <c r="C370" s="1" t="s">
        <v>20</v>
      </c>
      <c r="D370" s="1" t="s">
        <v>11</v>
      </c>
      <c r="E370" s="1" t="s">
        <v>30</v>
      </c>
      <c r="F370" t="e">
        <f>TEXT(#REF!,"YYY")</f>
        <v>#REF!</v>
      </c>
      <c r="G370" t="e">
        <f>TEXT(#REF!,"MMM")</f>
        <v>#REF!</v>
      </c>
      <c r="H370" t="e">
        <f>TEXT(#REF!,"DDD")</f>
        <v>#REF!</v>
      </c>
      <c r="I370" t="e">
        <f>DATEDIF(#REF!,#REF!,"D")</f>
        <v>#REF!</v>
      </c>
      <c r="J370" s="7" t="e">
        <f>ROUND(Table2[[#This Row],[Quantity]]*Table2[[#This Row],[Unit Price]]*VLOOKUP(#REF!,Table_1[#All],2,FALSE),0)</f>
        <v>#REF!</v>
      </c>
      <c r="K370" s="7">
        <f>Table2[[#This Row],[Quantity]]*Table2[[#This Row],[Unit Price]]</f>
        <v>1936</v>
      </c>
      <c r="L370" s="7" t="e">
        <f>Table2[[#This Row],[Sales Revenue]]-Table2[[#This Row],[Total Cost After Product Percentage Calc]]</f>
        <v>#REF!</v>
      </c>
    </row>
    <row r="371" spans="1:12" ht="14.25" customHeight="1" x14ac:dyDescent="0.3">
      <c r="A371" s="1">
        <v>9</v>
      </c>
      <c r="B371" s="1">
        <v>605</v>
      </c>
      <c r="C371" s="1" t="s">
        <v>20</v>
      </c>
      <c r="D371" s="1" t="s">
        <v>21</v>
      </c>
      <c r="E371" s="1" t="s">
        <v>30</v>
      </c>
      <c r="F371" t="e">
        <f>TEXT(#REF!,"YYY")</f>
        <v>#REF!</v>
      </c>
      <c r="G371" t="e">
        <f>TEXT(#REF!,"MMM")</f>
        <v>#REF!</v>
      </c>
      <c r="H371" t="e">
        <f>TEXT(#REF!,"DDD")</f>
        <v>#REF!</v>
      </c>
      <c r="I371" t="e">
        <f>DATEDIF(#REF!,#REF!,"D")</f>
        <v>#REF!</v>
      </c>
      <c r="J371" s="7" t="e">
        <f>ROUND(Table2[[#This Row],[Quantity]]*Table2[[#This Row],[Unit Price]]*VLOOKUP(#REF!,Table_1[#All],2,FALSE),0)</f>
        <v>#REF!</v>
      </c>
      <c r="K371" s="7">
        <f>Table2[[#This Row],[Quantity]]*Table2[[#This Row],[Unit Price]]</f>
        <v>5445</v>
      </c>
      <c r="L371" s="7" t="e">
        <f>Table2[[#This Row],[Sales Revenue]]-Table2[[#This Row],[Total Cost After Product Percentage Calc]]</f>
        <v>#REF!</v>
      </c>
    </row>
    <row r="372" spans="1:12" ht="14.25" customHeight="1" x14ac:dyDescent="0.3">
      <c r="A372" s="1">
        <v>5</v>
      </c>
      <c r="B372" s="1">
        <v>50</v>
      </c>
      <c r="C372" s="1" t="s">
        <v>20</v>
      </c>
      <c r="D372" s="1" t="s">
        <v>31</v>
      </c>
      <c r="E372" s="1" t="s">
        <v>14</v>
      </c>
      <c r="F372" t="e">
        <f>TEXT(#REF!,"YYY")</f>
        <v>#REF!</v>
      </c>
      <c r="G372" t="e">
        <f>TEXT(#REF!,"MMM")</f>
        <v>#REF!</v>
      </c>
      <c r="H372" t="e">
        <f>TEXT(#REF!,"DDD")</f>
        <v>#REF!</v>
      </c>
      <c r="I372" t="e">
        <f>DATEDIF(#REF!,#REF!,"D")</f>
        <v>#REF!</v>
      </c>
      <c r="J372" s="7" t="e">
        <f>ROUND(Table2[[#This Row],[Quantity]]*Table2[[#This Row],[Unit Price]]*VLOOKUP(#REF!,Table_1[#All],2,FALSE),0)</f>
        <v>#REF!</v>
      </c>
      <c r="K372" s="7">
        <f>Table2[[#This Row],[Quantity]]*Table2[[#This Row],[Unit Price]]</f>
        <v>250</v>
      </c>
      <c r="L372" s="7" t="e">
        <f>Table2[[#This Row],[Sales Revenue]]-Table2[[#This Row],[Total Cost After Product Percentage Calc]]</f>
        <v>#REF!</v>
      </c>
    </row>
    <row r="373" spans="1:12" ht="14.25" customHeight="1" x14ac:dyDescent="0.3">
      <c r="A373" s="1">
        <v>9</v>
      </c>
      <c r="B373" s="1">
        <v>647</v>
      </c>
      <c r="C373" s="1" t="s">
        <v>10</v>
      </c>
      <c r="D373" s="1" t="s">
        <v>16</v>
      </c>
      <c r="E373" s="1" t="s">
        <v>22</v>
      </c>
      <c r="F373" t="e">
        <f>TEXT(#REF!,"YYY")</f>
        <v>#REF!</v>
      </c>
      <c r="G373" t="e">
        <f>TEXT(#REF!,"MMM")</f>
        <v>#REF!</v>
      </c>
      <c r="H373" t="e">
        <f>TEXT(#REF!,"DDD")</f>
        <v>#REF!</v>
      </c>
      <c r="I373" t="e">
        <f>DATEDIF(#REF!,#REF!,"D")</f>
        <v>#REF!</v>
      </c>
      <c r="J373" s="7" t="e">
        <f>ROUND(Table2[[#This Row],[Quantity]]*Table2[[#This Row],[Unit Price]]*VLOOKUP(#REF!,Table_1[#All],2,FALSE),0)</f>
        <v>#REF!</v>
      </c>
      <c r="K373" s="7">
        <f>Table2[[#This Row],[Quantity]]*Table2[[#This Row],[Unit Price]]</f>
        <v>5823</v>
      </c>
      <c r="L373" s="7" t="e">
        <f>Table2[[#This Row],[Sales Revenue]]-Table2[[#This Row],[Total Cost After Product Percentage Calc]]</f>
        <v>#REF!</v>
      </c>
    </row>
    <row r="374" spans="1:12" ht="14.25" customHeight="1" x14ac:dyDescent="0.3">
      <c r="A374" s="1">
        <v>10</v>
      </c>
      <c r="B374" s="1">
        <v>253</v>
      </c>
      <c r="C374" s="1" t="s">
        <v>10</v>
      </c>
      <c r="D374" s="1" t="s">
        <v>16</v>
      </c>
      <c r="E374" s="1" t="s">
        <v>14</v>
      </c>
      <c r="F374" t="e">
        <f>TEXT(#REF!,"YYY")</f>
        <v>#REF!</v>
      </c>
      <c r="G374" t="e">
        <f>TEXT(#REF!,"MMM")</f>
        <v>#REF!</v>
      </c>
      <c r="H374" t="e">
        <f>TEXT(#REF!,"DDD")</f>
        <v>#REF!</v>
      </c>
      <c r="I374" t="e">
        <f>DATEDIF(#REF!,#REF!,"D")</f>
        <v>#REF!</v>
      </c>
      <c r="J374" s="7" t="e">
        <f>ROUND(Table2[[#This Row],[Quantity]]*Table2[[#This Row],[Unit Price]]*VLOOKUP(#REF!,Table_1[#All],2,FALSE),0)</f>
        <v>#REF!</v>
      </c>
      <c r="K374" s="7">
        <f>Table2[[#This Row],[Quantity]]*Table2[[#This Row],[Unit Price]]</f>
        <v>2530</v>
      </c>
      <c r="L374" s="7" t="e">
        <f>Table2[[#This Row],[Sales Revenue]]-Table2[[#This Row],[Total Cost After Product Percentage Calc]]</f>
        <v>#REF!</v>
      </c>
    </row>
    <row r="375" spans="1:12" ht="14.25" customHeight="1" x14ac:dyDescent="0.3">
      <c r="A375" s="1">
        <v>10</v>
      </c>
      <c r="B375" s="1">
        <v>525</v>
      </c>
      <c r="C375" s="1" t="s">
        <v>20</v>
      </c>
      <c r="D375" s="1" t="s">
        <v>16</v>
      </c>
      <c r="E375" s="1" t="s">
        <v>30</v>
      </c>
      <c r="F375" t="e">
        <f>TEXT(#REF!,"YYY")</f>
        <v>#REF!</v>
      </c>
      <c r="G375" t="e">
        <f>TEXT(#REF!,"MMM")</f>
        <v>#REF!</v>
      </c>
      <c r="H375" t="e">
        <f>TEXT(#REF!,"DDD")</f>
        <v>#REF!</v>
      </c>
      <c r="I375" t="e">
        <f>DATEDIF(#REF!,#REF!,"D")</f>
        <v>#REF!</v>
      </c>
      <c r="J375" s="7" t="e">
        <f>ROUND(Table2[[#This Row],[Quantity]]*Table2[[#This Row],[Unit Price]]*VLOOKUP(#REF!,Table_1[#All],2,FALSE),0)</f>
        <v>#REF!</v>
      </c>
      <c r="K375" s="7">
        <f>Table2[[#This Row],[Quantity]]*Table2[[#This Row],[Unit Price]]</f>
        <v>5250</v>
      </c>
      <c r="L375" s="7" t="e">
        <f>Table2[[#This Row],[Sales Revenue]]-Table2[[#This Row],[Total Cost After Product Percentage Calc]]</f>
        <v>#REF!</v>
      </c>
    </row>
    <row r="376" spans="1:12" ht="14.25" customHeight="1" x14ac:dyDescent="0.3">
      <c r="A376" s="1">
        <v>6</v>
      </c>
      <c r="B376" s="1">
        <v>678</v>
      </c>
      <c r="C376" s="1" t="s">
        <v>20</v>
      </c>
      <c r="D376" s="1" t="s">
        <v>11</v>
      </c>
      <c r="E376" s="1" t="s">
        <v>30</v>
      </c>
      <c r="F376" t="e">
        <f>TEXT(#REF!,"YYY")</f>
        <v>#REF!</v>
      </c>
      <c r="G376" t="e">
        <f>TEXT(#REF!,"MMM")</f>
        <v>#REF!</v>
      </c>
      <c r="H376" t="e">
        <f>TEXT(#REF!,"DDD")</f>
        <v>#REF!</v>
      </c>
      <c r="I376" t="e">
        <f>DATEDIF(#REF!,#REF!,"D")</f>
        <v>#REF!</v>
      </c>
      <c r="J376" s="7" t="e">
        <f>ROUND(Table2[[#This Row],[Quantity]]*Table2[[#This Row],[Unit Price]]*VLOOKUP(#REF!,Table_1[#All],2,FALSE),0)</f>
        <v>#REF!</v>
      </c>
      <c r="K376" s="7">
        <f>Table2[[#This Row],[Quantity]]*Table2[[#This Row],[Unit Price]]</f>
        <v>4068</v>
      </c>
      <c r="L376" s="7" t="e">
        <f>Table2[[#This Row],[Sales Revenue]]-Table2[[#This Row],[Total Cost After Product Percentage Calc]]</f>
        <v>#REF!</v>
      </c>
    </row>
    <row r="377" spans="1:12" ht="14.25" customHeight="1" x14ac:dyDescent="0.3">
      <c r="A377" s="1">
        <v>6</v>
      </c>
      <c r="B377" s="1">
        <v>117</v>
      </c>
      <c r="C377" s="1" t="s">
        <v>10</v>
      </c>
      <c r="D377" s="1" t="s">
        <v>31</v>
      </c>
      <c r="E377" s="1" t="s">
        <v>12</v>
      </c>
      <c r="F377" t="e">
        <f>TEXT(#REF!,"YYY")</f>
        <v>#REF!</v>
      </c>
      <c r="G377" t="e">
        <f>TEXT(#REF!,"MMM")</f>
        <v>#REF!</v>
      </c>
      <c r="H377" t="e">
        <f>TEXT(#REF!,"DDD")</f>
        <v>#REF!</v>
      </c>
      <c r="I377" t="e">
        <f>DATEDIF(#REF!,#REF!,"D")</f>
        <v>#REF!</v>
      </c>
      <c r="J377" s="7" t="e">
        <f>ROUND(Table2[[#This Row],[Quantity]]*Table2[[#This Row],[Unit Price]]*VLOOKUP(#REF!,Table_1[#All],2,FALSE),0)</f>
        <v>#REF!</v>
      </c>
      <c r="K377" s="7">
        <f>Table2[[#This Row],[Quantity]]*Table2[[#This Row],[Unit Price]]</f>
        <v>702</v>
      </c>
      <c r="L377" s="7" t="e">
        <f>Table2[[#This Row],[Sales Revenue]]-Table2[[#This Row],[Total Cost After Product Percentage Calc]]</f>
        <v>#REF!</v>
      </c>
    </row>
    <row r="378" spans="1:12" ht="14.25" customHeight="1" x14ac:dyDescent="0.3">
      <c r="A378" s="1">
        <v>3</v>
      </c>
      <c r="B378" s="1">
        <v>262</v>
      </c>
      <c r="C378" s="1" t="s">
        <v>20</v>
      </c>
      <c r="D378" s="1" t="s">
        <v>21</v>
      </c>
      <c r="E378" s="1" t="s">
        <v>14</v>
      </c>
      <c r="F378" t="e">
        <f>TEXT(#REF!,"YYY")</f>
        <v>#REF!</v>
      </c>
      <c r="G378" t="e">
        <f>TEXT(#REF!,"MMM")</f>
        <v>#REF!</v>
      </c>
      <c r="H378" t="e">
        <f>TEXT(#REF!,"DDD")</f>
        <v>#REF!</v>
      </c>
      <c r="I378" t="e">
        <f>DATEDIF(#REF!,#REF!,"D")</f>
        <v>#REF!</v>
      </c>
      <c r="J378" s="7" t="e">
        <f>ROUND(Table2[[#This Row],[Quantity]]*Table2[[#This Row],[Unit Price]]*VLOOKUP(#REF!,Table_1[#All],2,FALSE),0)</f>
        <v>#REF!</v>
      </c>
      <c r="K378" s="7">
        <f>Table2[[#This Row],[Quantity]]*Table2[[#This Row],[Unit Price]]</f>
        <v>786</v>
      </c>
      <c r="L378" s="7" t="e">
        <f>Table2[[#This Row],[Sales Revenue]]-Table2[[#This Row],[Total Cost After Product Percentage Calc]]</f>
        <v>#REF!</v>
      </c>
    </row>
    <row r="379" spans="1:12" ht="14.25" customHeight="1" x14ac:dyDescent="0.3">
      <c r="A379" s="1">
        <v>8</v>
      </c>
      <c r="B379" s="1">
        <v>360</v>
      </c>
      <c r="C379" s="1" t="s">
        <v>20</v>
      </c>
      <c r="D379" s="1" t="s">
        <v>21</v>
      </c>
      <c r="E379" s="1" t="s">
        <v>22</v>
      </c>
      <c r="F379" t="e">
        <f>TEXT(#REF!,"YYY")</f>
        <v>#REF!</v>
      </c>
      <c r="G379" t="e">
        <f>TEXT(#REF!,"MMM")</f>
        <v>#REF!</v>
      </c>
      <c r="H379" t="e">
        <f>TEXT(#REF!,"DDD")</f>
        <v>#REF!</v>
      </c>
      <c r="I379" t="e">
        <f>DATEDIF(#REF!,#REF!,"D")</f>
        <v>#REF!</v>
      </c>
      <c r="J379" s="7" t="e">
        <f>ROUND(Table2[[#This Row],[Quantity]]*Table2[[#This Row],[Unit Price]]*VLOOKUP(#REF!,Table_1[#All],2,FALSE),0)</f>
        <v>#REF!</v>
      </c>
      <c r="K379" s="7">
        <f>Table2[[#This Row],[Quantity]]*Table2[[#This Row],[Unit Price]]</f>
        <v>2880</v>
      </c>
      <c r="L379" s="7" t="e">
        <f>Table2[[#This Row],[Sales Revenue]]-Table2[[#This Row],[Total Cost After Product Percentage Calc]]</f>
        <v>#REF!</v>
      </c>
    </row>
    <row r="380" spans="1:12" ht="14.25" customHeight="1" x14ac:dyDescent="0.3">
      <c r="A380" s="1">
        <v>10</v>
      </c>
      <c r="B380" s="1">
        <v>279</v>
      </c>
      <c r="C380" s="1" t="s">
        <v>10</v>
      </c>
      <c r="D380" s="1" t="s">
        <v>16</v>
      </c>
      <c r="E380" s="1" t="s">
        <v>30</v>
      </c>
      <c r="F380" t="e">
        <f>TEXT(#REF!,"YYY")</f>
        <v>#REF!</v>
      </c>
      <c r="G380" t="e">
        <f>TEXT(#REF!,"MMM")</f>
        <v>#REF!</v>
      </c>
      <c r="H380" t="e">
        <f>TEXT(#REF!,"DDD")</f>
        <v>#REF!</v>
      </c>
      <c r="I380" t="e">
        <f>DATEDIF(#REF!,#REF!,"D")</f>
        <v>#REF!</v>
      </c>
      <c r="J380" s="7" t="e">
        <f>ROUND(Table2[[#This Row],[Quantity]]*Table2[[#This Row],[Unit Price]]*VLOOKUP(#REF!,Table_1[#All],2,FALSE),0)</f>
        <v>#REF!</v>
      </c>
      <c r="K380" s="7">
        <f>Table2[[#This Row],[Quantity]]*Table2[[#This Row],[Unit Price]]</f>
        <v>2790</v>
      </c>
      <c r="L380" s="7" t="e">
        <f>Table2[[#This Row],[Sales Revenue]]-Table2[[#This Row],[Total Cost After Product Percentage Calc]]</f>
        <v>#REF!</v>
      </c>
    </row>
    <row r="381" spans="1:12" ht="14.25" customHeight="1" x14ac:dyDescent="0.3">
      <c r="A381" s="1">
        <v>4</v>
      </c>
      <c r="B381" s="1">
        <v>801</v>
      </c>
      <c r="C381" s="1" t="s">
        <v>10</v>
      </c>
      <c r="D381" s="1" t="s">
        <v>21</v>
      </c>
      <c r="E381" s="1" t="s">
        <v>12</v>
      </c>
      <c r="F381" t="e">
        <f>TEXT(#REF!,"YYY")</f>
        <v>#REF!</v>
      </c>
      <c r="G381" t="e">
        <f>TEXT(#REF!,"MMM")</f>
        <v>#REF!</v>
      </c>
      <c r="H381" t="e">
        <f>TEXT(#REF!,"DDD")</f>
        <v>#REF!</v>
      </c>
      <c r="I381" t="e">
        <f>DATEDIF(#REF!,#REF!,"D")</f>
        <v>#REF!</v>
      </c>
      <c r="J381" s="7" t="e">
        <f>ROUND(Table2[[#This Row],[Quantity]]*Table2[[#This Row],[Unit Price]]*VLOOKUP(#REF!,Table_1[#All],2,FALSE),0)</f>
        <v>#REF!</v>
      </c>
      <c r="K381" s="7">
        <f>Table2[[#This Row],[Quantity]]*Table2[[#This Row],[Unit Price]]</f>
        <v>3204</v>
      </c>
      <c r="L381" s="7" t="e">
        <f>Table2[[#This Row],[Sales Revenue]]-Table2[[#This Row],[Total Cost After Product Percentage Calc]]</f>
        <v>#REF!</v>
      </c>
    </row>
    <row r="382" spans="1:12" ht="14.25" customHeight="1" x14ac:dyDescent="0.3">
      <c r="A382" s="1">
        <v>4</v>
      </c>
      <c r="B382" s="1">
        <v>346</v>
      </c>
      <c r="C382" s="1" t="s">
        <v>20</v>
      </c>
      <c r="D382" s="1" t="s">
        <v>11</v>
      </c>
      <c r="E382" s="1" t="s">
        <v>22</v>
      </c>
      <c r="F382" t="e">
        <f>TEXT(#REF!,"YYY")</f>
        <v>#REF!</v>
      </c>
      <c r="G382" t="e">
        <f>TEXT(#REF!,"MMM")</f>
        <v>#REF!</v>
      </c>
      <c r="H382" t="e">
        <f>TEXT(#REF!,"DDD")</f>
        <v>#REF!</v>
      </c>
      <c r="I382" t="e">
        <f>DATEDIF(#REF!,#REF!,"D")</f>
        <v>#REF!</v>
      </c>
      <c r="J382" s="7" t="e">
        <f>ROUND(Table2[[#This Row],[Quantity]]*Table2[[#This Row],[Unit Price]]*VLOOKUP(#REF!,Table_1[#All],2,FALSE),0)</f>
        <v>#REF!</v>
      </c>
      <c r="K382" s="7">
        <f>Table2[[#This Row],[Quantity]]*Table2[[#This Row],[Unit Price]]</f>
        <v>1384</v>
      </c>
      <c r="L382" s="7" t="e">
        <f>Table2[[#This Row],[Sales Revenue]]-Table2[[#This Row],[Total Cost After Product Percentage Calc]]</f>
        <v>#REF!</v>
      </c>
    </row>
    <row r="383" spans="1:12" ht="14.25" customHeight="1" x14ac:dyDescent="0.3">
      <c r="A383" s="1">
        <v>5</v>
      </c>
      <c r="B383" s="1">
        <v>215</v>
      </c>
      <c r="C383" s="1" t="s">
        <v>20</v>
      </c>
      <c r="D383" s="1" t="s">
        <v>24</v>
      </c>
      <c r="E383" s="1" t="s">
        <v>14</v>
      </c>
      <c r="F383" t="e">
        <f>TEXT(#REF!,"YYY")</f>
        <v>#REF!</v>
      </c>
      <c r="G383" t="e">
        <f>TEXT(#REF!,"MMM")</f>
        <v>#REF!</v>
      </c>
      <c r="H383" t="e">
        <f>TEXT(#REF!,"DDD")</f>
        <v>#REF!</v>
      </c>
      <c r="I383" t="e">
        <f>DATEDIF(#REF!,#REF!,"D")</f>
        <v>#REF!</v>
      </c>
      <c r="J383" s="7" t="e">
        <f>ROUND(Table2[[#This Row],[Quantity]]*Table2[[#This Row],[Unit Price]]*VLOOKUP(#REF!,Table_1[#All],2,FALSE),0)</f>
        <v>#REF!</v>
      </c>
      <c r="K383" s="7">
        <f>Table2[[#This Row],[Quantity]]*Table2[[#This Row],[Unit Price]]</f>
        <v>1075</v>
      </c>
      <c r="L383" s="7" t="e">
        <f>Table2[[#This Row],[Sales Revenue]]-Table2[[#This Row],[Total Cost After Product Percentage Calc]]</f>
        <v>#REF!</v>
      </c>
    </row>
    <row r="384" spans="1:12" ht="14.25" customHeight="1" x14ac:dyDescent="0.3">
      <c r="A384" s="1">
        <v>9</v>
      </c>
      <c r="B384" s="1">
        <v>860</v>
      </c>
      <c r="C384" s="1" t="s">
        <v>10</v>
      </c>
      <c r="D384" s="1" t="s">
        <v>31</v>
      </c>
      <c r="E384" s="1" t="s">
        <v>30</v>
      </c>
      <c r="F384" t="e">
        <f>TEXT(#REF!,"YYY")</f>
        <v>#REF!</v>
      </c>
      <c r="G384" t="e">
        <f>TEXT(#REF!,"MMM")</f>
        <v>#REF!</v>
      </c>
      <c r="H384" t="e">
        <f>TEXT(#REF!,"DDD")</f>
        <v>#REF!</v>
      </c>
      <c r="I384" t="e">
        <f>DATEDIF(#REF!,#REF!,"D")</f>
        <v>#REF!</v>
      </c>
      <c r="J384" s="7" t="e">
        <f>ROUND(Table2[[#This Row],[Quantity]]*Table2[[#This Row],[Unit Price]]*VLOOKUP(#REF!,Table_1[#All],2,FALSE),0)</f>
        <v>#REF!</v>
      </c>
      <c r="K384" s="7">
        <f>Table2[[#This Row],[Quantity]]*Table2[[#This Row],[Unit Price]]</f>
        <v>7740</v>
      </c>
      <c r="L384" s="7" t="e">
        <f>Table2[[#This Row],[Sales Revenue]]-Table2[[#This Row],[Total Cost After Product Percentage Calc]]</f>
        <v>#REF!</v>
      </c>
    </row>
    <row r="385" spans="1:12" ht="14.25" customHeight="1" x14ac:dyDescent="0.3">
      <c r="A385" s="1">
        <v>2</v>
      </c>
      <c r="B385" s="1">
        <v>461</v>
      </c>
      <c r="C385" s="1" t="s">
        <v>20</v>
      </c>
      <c r="D385" s="1" t="s">
        <v>16</v>
      </c>
      <c r="E385" s="1" t="s">
        <v>14</v>
      </c>
      <c r="F385" t="e">
        <f>TEXT(#REF!,"YYY")</f>
        <v>#REF!</v>
      </c>
      <c r="G385" t="e">
        <f>TEXT(#REF!,"MMM")</f>
        <v>#REF!</v>
      </c>
      <c r="H385" t="e">
        <f>TEXT(#REF!,"DDD")</f>
        <v>#REF!</v>
      </c>
      <c r="I385" t="e">
        <f>DATEDIF(#REF!,#REF!,"D")</f>
        <v>#REF!</v>
      </c>
      <c r="J385" s="7" t="e">
        <f>ROUND(Table2[[#This Row],[Quantity]]*Table2[[#This Row],[Unit Price]]*VLOOKUP(#REF!,Table_1[#All],2,FALSE),0)</f>
        <v>#REF!</v>
      </c>
      <c r="K385" s="7">
        <f>Table2[[#This Row],[Quantity]]*Table2[[#This Row],[Unit Price]]</f>
        <v>922</v>
      </c>
      <c r="L385" s="7" t="e">
        <f>Table2[[#This Row],[Sales Revenue]]-Table2[[#This Row],[Total Cost After Product Percentage Calc]]</f>
        <v>#REF!</v>
      </c>
    </row>
    <row r="386" spans="1:12" ht="14.25" customHeight="1" x14ac:dyDescent="0.3">
      <c r="A386" s="1">
        <v>7</v>
      </c>
      <c r="B386" s="1">
        <v>579</v>
      </c>
      <c r="C386" s="1" t="s">
        <v>10</v>
      </c>
      <c r="D386" s="1" t="s">
        <v>11</v>
      </c>
      <c r="E386" s="1" t="s">
        <v>30</v>
      </c>
      <c r="F386" t="e">
        <f>TEXT(#REF!,"YYY")</f>
        <v>#REF!</v>
      </c>
      <c r="G386" t="e">
        <f>TEXT(#REF!,"MMM")</f>
        <v>#REF!</v>
      </c>
      <c r="H386" t="e">
        <f>TEXT(#REF!,"DDD")</f>
        <v>#REF!</v>
      </c>
      <c r="I386" t="e">
        <f>DATEDIF(#REF!,#REF!,"D")</f>
        <v>#REF!</v>
      </c>
      <c r="J386" s="7" t="e">
        <f>ROUND(Table2[[#This Row],[Quantity]]*Table2[[#This Row],[Unit Price]]*VLOOKUP(#REF!,Table_1[#All],2,FALSE),0)</f>
        <v>#REF!</v>
      </c>
      <c r="K386" s="7">
        <f>Table2[[#This Row],[Quantity]]*Table2[[#This Row],[Unit Price]]</f>
        <v>4053</v>
      </c>
      <c r="L386" s="7" t="e">
        <f>Table2[[#This Row],[Sales Revenue]]-Table2[[#This Row],[Total Cost After Product Percentage Calc]]</f>
        <v>#REF!</v>
      </c>
    </row>
    <row r="387" spans="1:12" ht="14.25" customHeight="1" x14ac:dyDescent="0.3">
      <c r="A387" s="1">
        <v>3</v>
      </c>
      <c r="B387" s="1">
        <v>982</v>
      </c>
      <c r="C387" s="1" t="s">
        <v>20</v>
      </c>
      <c r="D387" s="1" t="s">
        <v>11</v>
      </c>
      <c r="E387" s="1" t="s">
        <v>30</v>
      </c>
      <c r="F387" t="e">
        <f>TEXT(#REF!,"YYY")</f>
        <v>#REF!</v>
      </c>
      <c r="G387" t="e">
        <f>TEXT(#REF!,"MMM")</f>
        <v>#REF!</v>
      </c>
      <c r="H387" t="e">
        <f>TEXT(#REF!,"DDD")</f>
        <v>#REF!</v>
      </c>
      <c r="I387" t="e">
        <f>DATEDIF(#REF!,#REF!,"D")</f>
        <v>#REF!</v>
      </c>
      <c r="J387" s="7" t="e">
        <f>ROUND(Table2[[#This Row],[Quantity]]*Table2[[#This Row],[Unit Price]]*VLOOKUP(#REF!,Table_1[#All],2,FALSE),0)</f>
        <v>#REF!</v>
      </c>
      <c r="K387" s="7">
        <f>Table2[[#This Row],[Quantity]]*Table2[[#This Row],[Unit Price]]</f>
        <v>2946</v>
      </c>
      <c r="L387" s="7" t="e">
        <f>Table2[[#This Row],[Sales Revenue]]-Table2[[#This Row],[Total Cost After Product Percentage Calc]]</f>
        <v>#REF!</v>
      </c>
    </row>
    <row r="388" spans="1:12" ht="14.25" customHeight="1" x14ac:dyDescent="0.3">
      <c r="A388" s="1">
        <v>2</v>
      </c>
      <c r="B388" s="1">
        <v>969</v>
      </c>
      <c r="C388" s="1" t="s">
        <v>10</v>
      </c>
      <c r="D388" s="1" t="s">
        <v>24</v>
      </c>
      <c r="E388" s="1" t="s">
        <v>30</v>
      </c>
      <c r="F388" t="e">
        <f>TEXT(#REF!,"YYY")</f>
        <v>#REF!</v>
      </c>
      <c r="G388" t="e">
        <f>TEXT(#REF!,"MMM")</f>
        <v>#REF!</v>
      </c>
      <c r="H388" t="e">
        <f>TEXT(#REF!,"DDD")</f>
        <v>#REF!</v>
      </c>
      <c r="I388" t="e">
        <f>DATEDIF(#REF!,#REF!,"D")</f>
        <v>#REF!</v>
      </c>
      <c r="J388" s="7" t="e">
        <f>ROUND(Table2[[#This Row],[Quantity]]*Table2[[#This Row],[Unit Price]]*VLOOKUP(#REF!,Table_1[#All],2,FALSE),0)</f>
        <v>#REF!</v>
      </c>
      <c r="K388" s="7">
        <f>Table2[[#This Row],[Quantity]]*Table2[[#This Row],[Unit Price]]</f>
        <v>1938</v>
      </c>
      <c r="L388" s="7" t="e">
        <f>Table2[[#This Row],[Sales Revenue]]-Table2[[#This Row],[Total Cost After Product Percentage Calc]]</f>
        <v>#REF!</v>
      </c>
    </row>
    <row r="389" spans="1:12" ht="14.25" customHeight="1" x14ac:dyDescent="0.3">
      <c r="A389" s="1">
        <v>6</v>
      </c>
      <c r="B389" s="1">
        <v>563</v>
      </c>
      <c r="C389" s="1" t="s">
        <v>10</v>
      </c>
      <c r="D389" s="1" t="s">
        <v>11</v>
      </c>
      <c r="E389" s="1" t="s">
        <v>30</v>
      </c>
      <c r="F389" t="e">
        <f>TEXT(#REF!,"YYY")</f>
        <v>#REF!</v>
      </c>
      <c r="G389" t="e">
        <f>TEXT(#REF!,"MMM")</f>
        <v>#REF!</v>
      </c>
      <c r="H389" t="e">
        <f>TEXT(#REF!,"DDD")</f>
        <v>#REF!</v>
      </c>
      <c r="I389" t="e">
        <f>DATEDIF(#REF!,#REF!,"D")</f>
        <v>#REF!</v>
      </c>
      <c r="J389" s="7" t="e">
        <f>ROUND(Table2[[#This Row],[Quantity]]*Table2[[#This Row],[Unit Price]]*VLOOKUP(#REF!,Table_1[#All],2,FALSE),0)</f>
        <v>#REF!</v>
      </c>
      <c r="K389" s="7">
        <f>Table2[[#This Row],[Quantity]]*Table2[[#This Row],[Unit Price]]</f>
        <v>3378</v>
      </c>
      <c r="L389" s="7" t="e">
        <f>Table2[[#This Row],[Sales Revenue]]-Table2[[#This Row],[Total Cost After Product Percentage Calc]]</f>
        <v>#REF!</v>
      </c>
    </row>
    <row r="390" spans="1:12" ht="14.25" customHeight="1" x14ac:dyDescent="0.3">
      <c r="A390" s="1">
        <v>7</v>
      </c>
      <c r="B390" s="1">
        <v>894</v>
      </c>
      <c r="C390" s="1" t="s">
        <v>10</v>
      </c>
      <c r="D390" s="1" t="s">
        <v>21</v>
      </c>
      <c r="E390" s="1" t="s">
        <v>12</v>
      </c>
      <c r="F390" t="e">
        <f>TEXT(#REF!,"YYY")</f>
        <v>#REF!</v>
      </c>
      <c r="G390" t="e">
        <f>TEXT(#REF!,"MMM")</f>
        <v>#REF!</v>
      </c>
      <c r="H390" t="e">
        <f>TEXT(#REF!,"DDD")</f>
        <v>#REF!</v>
      </c>
      <c r="I390" t="e">
        <f>DATEDIF(#REF!,#REF!,"D")</f>
        <v>#REF!</v>
      </c>
      <c r="J390" s="7" t="e">
        <f>ROUND(Table2[[#This Row],[Quantity]]*Table2[[#This Row],[Unit Price]]*VLOOKUP(#REF!,Table_1[#All],2,FALSE),0)</f>
        <v>#REF!</v>
      </c>
      <c r="K390" s="7">
        <f>Table2[[#This Row],[Quantity]]*Table2[[#This Row],[Unit Price]]</f>
        <v>6258</v>
      </c>
      <c r="L390" s="7" t="e">
        <f>Table2[[#This Row],[Sales Revenue]]-Table2[[#This Row],[Total Cost After Product Percentage Calc]]</f>
        <v>#REF!</v>
      </c>
    </row>
    <row r="391" spans="1:12" ht="14.25" customHeight="1" x14ac:dyDescent="0.3">
      <c r="A391" s="1">
        <v>8</v>
      </c>
      <c r="B391" s="1">
        <v>177</v>
      </c>
      <c r="C391" s="1" t="s">
        <v>10</v>
      </c>
      <c r="D391" s="1" t="s">
        <v>11</v>
      </c>
      <c r="E391" s="1" t="s">
        <v>12</v>
      </c>
      <c r="F391" t="e">
        <f>TEXT(#REF!,"YYY")</f>
        <v>#REF!</v>
      </c>
      <c r="G391" t="e">
        <f>TEXT(#REF!,"MMM")</f>
        <v>#REF!</v>
      </c>
      <c r="H391" t="e">
        <f>TEXT(#REF!,"DDD")</f>
        <v>#REF!</v>
      </c>
      <c r="I391" t="e">
        <f>DATEDIF(#REF!,#REF!,"D")</f>
        <v>#REF!</v>
      </c>
      <c r="J391" s="7" t="e">
        <f>ROUND(Table2[[#This Row],[Quantity]]*Table2[[#This Row],[Unit Price]]*VLOOKUP(#REF!,Table_1[#All],2,FALSE),0)</f>
        <v>#REF!</v>
      </c>
      <c r="K391" s="7">
        <f>Table2[[#This Row],[Quantity]]*Table2[[#This Row],[Unit Price]]</f>
        <v>1416</v>
      </c>
      <c r="L391" s="7" t="e">
        <f>Table2[[#This Row],[Sales Revenue]]-Table2[[#This Row],[Total Cost After Product Percentage Calc]]</f>
        <v>#REF!</v>
      </c>
    </row>
    <row r="392" spans="1:12" ht="14.25" customHeight="1" x14ac:dyDescent="0.3">
      <c r="A392" s="1">
        <v>9</v>
      </c>
      <c r="B392" s="1">
        <v>455</v>
      </c>
      <c r="C392" s="1" t="s">
        <v>10</v>
      </c>
      <c r="D392" s="1" t="s">
        <v>31</v>
      </c>
      <c r="E392" s="1" t="s">
        <v>22</v>
      </c>
      <c r="F392" t="e">
        <f>TEXT(#REF!,"YYY")</f>
        <v>#REF!</v>
      </c>
      <c r="G392" t="e">
        <f>TEXT(#REF!,"MMM")</f>
        <v>#REF!</v>
      </c>
      <c r="H392" t="e">
        <f>TEXT(#REF!,"DDD")</f>
        <v>#REF!</v>
      </c>
      <c r="I392" t="e">
        <f>DATEDIF(#REF!,#REF!,"D")</f>
        <v>#REF!</v>
      </c>
      <c r="J392" s="7" t="e">
        <f>ROUND(Table2[[#This Row],[Quantity]]*Table2[[#This Row],[Unit Price]]*VLOOKUP(#REF!,Table_1[#All],2,FALSE),0)</f>
        <v>#REF!</v>
      </c>
      <c r="K392" s="7">
        <f>Table2[[#This Row],[Quantity]]*Table2[[#This Row],[Unit Price]]</f>
        <v>4095</v>
      </c>
      <c r="L392" s="7" t="e">
        <f>Table2[[#This Row],[Sales Revenue]]-Table2[[#This Row],[Total Cost After Product Percentage Calc]]</f>
        <v>#REF!</v>
      </c>
    </row>
    <row r="393" spans="1:12" ht="14.25" customHeight="1" x14ac:dyDescent="0.3">
      <c r="A393" s="1">
        <v>6</v>
      </c>
      <c r="B393" s="1">
        <v>565</v>
      </c>
      <c r="C393" s="1" t="s">
        <v>10</v>
      </c>
      <c r="D393" s="1" t="s">
        <v>16</v>
      </c>
      <c r="E393" s="1" t="s">
        <v>30</v>
      </c>
      <c r="F393" t="e">
        <f>TEXT(#REF!,"YYY")</f>
        <v>#REF!</v>
      </c>
      <c r="G393" t="e">
        <f>TEXT(#REF!,"MMM")</f>
        <v>#REF!</v>
      </c>
      <c r="H393" t="e">
        <f>TEXT(#REF!,"DDD")</f>
        <v>#REF!</v>
      </c>
      <c r="I393" t="e">
        <f>DATEDIF(#REF!,#REF!,"D")</f>
        <v>#REF!</v>
      </c>
      <c r="J393" s="7" t="e">
        <f>ROUND(Table2[[#This Row],[Quantity]]*Table2[[#This Row],[Unit Price]]*VLOOKUP(#REF!,Table_1[#All],2,FALSE),0)</f>
        <v>#REF!</v>
      </c>
      <c r="K393" s="7">
        <f>Table2[[#This Row],[Quantity]]*Table2[[#This Row],[Unit Price]]</f>
        <v>3390</v>
      </c>
      <c r="L393" s="7" t="e">
        <f>Table2[[#This Row],[Sales Revenue]]-Table2[[#This Row],[Total Cost After Product Percentage Calc]]</f>
        <v>#REF!</v>
      </c>
    </row>
    <row r="394" spans="1:12" ht="14.25" customHeight="1" x14ac:dyDescent="0.3">
      <c r="A394" s="1">
        <v>3</v>
      </c>
      <c r="B394" s="1">
        <v>565</v>
      </c>
      <c r="C394" s="1" t="s">
        <v>10</v>
      </c>
      <c r="D394" s="1" t="s">
        <v>24</v>
      </c>
      <c r="E394" s="1" t="s">
        <v>12</v>
      </c>
      <c r="F394" t="e">
        <f>TEXT(#REF!,"YYY")</f>
        <v>#REF!</v>
      </c>
      <c r="G394" t="e">
        <f>TEXT(#REF!,"MMM")</f>
        <v>#REF!</v>
      </c>
      <c r="H394" t="e">
        <f>TEXT(#REF!,"DDD")</f>
        <v>#REF!</v>
      </c>
      <c r="I394" t="e">
        <f>DATEDIF(#REF!,#REF!,"D")</f>
        <v>#REF!</v>
      </c>
      <c r="J394" s="7" t="e">
        <f>ROUND(Table2[[#This Row],[Quantity]]*Table2[[#This Row],[Unit Price]]*VLOOKUP(#REF!,Table_1[#All],2,FALSE),0)</f>
        <v>#REF!</v>
      </c>
      <c r="K394" s="7">
        <f>Table2[[#This Row],[Quantity]]*Table2[[#This Row],[Unit Price]]</f>
        <v>1695</v>
      </c>
      <c r="L394" s="7" t="e">
        <f>Table2[[#This Row],[Sales Revenue]]-Table2[[#This Row],[Total Cost After Product Percentage Calc]]</f>
        <v>#REF!</v>
      </c>
    </row>
    <row r="395" spans="1:12" ht="14.25" customHeight="1" x14ac:dyDescent="0.3">
      <c r="A395" s="1">
        <v>10</v>
      </c>
      <c r="B395" s="1">
        <v>572</v>
      </c>
      <c r="C395" s="1" t="s">
        <v>10</v>
      </c>
      <c r="D395" s="1" t="s">
        <v>24</v>
      </c>
      <c r="E395" s="1" t="s">
        <v>14</v>
      </c>
      <c r="F395" t="e">
        <f>TEXT(#REF!,"YYY")</f>
        <v>#REF!</v>
      </c>
      <c r="G395" t="e">
        <f>TEXT(#REF!,"MMM")</f>
        <v>#REF!</v>
      </c>
      <c r="H395" t="e">
        <f>TEXT(#REF!,"DDD")</f>
        <v>#REF!</v>
      </c>
      <c r="I395" t="e">
        <f>DATEDIF(#REF!,#REF!,"D")</f>
        <v>#REF!</v>
      </c>
      <c r="J395" s="7" t="e">
        <f>ROUND(Table2[[#This Row],[Quantity]]*Table2[[#This Row],[Unit Price]]*VLOOKUP(#REF!,Table_1[#All],2,FALSE),0)</f>
        <v>#REF!</v>
      </c>
      <c r="K395" s="7">
        <f>Table2[[#This Row],[Quantity]]*Table2[[#This Row],[Unit Price]]</f>
        <v>5720</v>
      </c>
      <c r="L395" s="7" t="e">
        <f>Table2[[#This Row],[Sales Revenue]]-Table2[[#This Row],[Total Cost After Product Percentage Calc]]</f>
        <v>#REF!</v>
      </c>
    </row>
    <row r="396" spans="1:12" ht="14.25" customHeight="1" x14ac:dyDescent="0.3">
      <c r="A396" s="1">
        <v>9</v>
      </c>
      <c r="B396" s="1">
        <v>616</v>
      </c>
      <c r="C396" s="1" t="s">
        <v>20</v>
      </c>
      <c r="D396" s="1" t="s">
        <v>16</v>
      </c>
      <c r="E396" s="1" t="s">
        <v>30</v>
      </c>
      <c r="F396" t="e">
        <f>TEXT(#REF!,"YYY")</f>
        <v>#REF!</v>
      </c>
      <c r="G396" t="e">
        <f>TEXT(#REF!,"MMM")</f>
        <v>#REF!</v>
      </c>
      <c r="H396" t="e">
        <f>TEXT(#REF!,"DDD")</f>
        <v>#REF!</v>
      </c>
      <c r="I396" t="e">
        <f>DATEDIF(#REF!,#REF!,"D")</f>
        <v>#REF!</v>
      </c>
      <c r="J396" s="7" t="e">
        <f>ROUND(Table2[[#This Row],[Quantity]]*Table2[[#This Row],[Unit Price]]*VLOOKUP(#REF!,Table_1[#All],2,FALSE),0)</f>
        <v>#REF!</v>
      </c>
      <c r="K396" s="7">
        <f>Table2[[#This Row],[Quantity]]*Table2[[#This Row],[Unit Price]]</f>
        <v>5544</v>
      </c>
      <c r="L396" s="7" t="e">
        <f>Table2[[#This Row],[Sales Revenue]]-Table2[[#This Row],[Total Cost After Product Percentage Calc]]</f>
        <v>#REF!</v>
      </c>
    </row>
    <row r="397" spans="1:12" ht="14.25" customHeight="1" x14ac:dyDescent="0.3">
      <c r="A397" s="1">
        <v>1</v>
      </c>
      <c r="B397" s="1">
        <v>692</v>
      </c>
      <c r="C397" s="1" t="s">
        <v>20</v>
      </c>
      <c r="D397" s="1" t="s">
        <v>21</v>
      </c>
      <c r="E397" s="1" t="s">
        <v>14</v>
      </c>
      <c r="F397" t="e">
        <f>TEXT(#REF!,"YYY")</f>
        <v>#REF!</v>
      </c>
      <c r="G397" t="e">
        <f>TEXT(#REF!,"MMM")</f>
        <v>#REF!</v>
      </c>
      <c r="H397" t="e">
        <f>TEXT(#REF!,"DDD")</f>
        <v>#REF!</v>
      </c>
      <c r="I397" t="e">
        <f>DATEDIF(#REF!,#REF!,"D")</f>
        <v>#REF!</v>
      </c>
      <c r="J397" s="7" t="e">
        <f>ROUND(Table2[[#This Row],[Quantity]]*Table2[[#This Row],[Unit Price]]*VLOOKUP(#REF!,Table_1[#All],2,FALSE),0)</f>
        <v>#REF!</v>
      </c>
      <c r="K397" s="7">
        <f>Table2[[#This Row],[Quantity]]*Table2[[#This Row],[Unit Price]]</f>
        <v>692</v>
      </c>
      <c r="L397" s="7" t="e">
        <f>Table2[[#This Row],[Sales Revenue]]-Table2[[#This Row],[Total Cost After Product Percentage Calc]]</f>
        <v>#REF!</v>
      </c>
    </row>
    <row r="398" spans="1:12" ht="14.25" customHeight="1" x14ac:dyDescent="0.3">
      <c r="A398" s="1">
        <v>6</v>
      </c>
      <c r="B398" s="1">
        <v>366</v>
      </c>
      <c r="C398" s="1" t="s">
        <v>10</v>
      </c>
      <c r="D398" s="1" t="s">
        <v>11</v>
      </c>
      <c r="E398" s="1" t="s">
        <v>30</v>
      </c>
      <c r="F398" t="e">
        <f>TEXT(#REF!,"YYY")</f>
        <v>#REF!</v>
      </c>
      <c r="G398" t="e">
        <f>TEXT(#REF!,"MMM")</f>
        <v>#REF!</v>
      </c>
      <c r="H398" t="e">
        <f>TEXT(#REF!,"DDD")</f>
        <v>#REF!</v>
      </c>
      <c r="I398" t="e">
        <f>DATEDIF(#REF!,#REF!,"D")</f>
        <v>#REF!</v>
      </c>
      <c r="J398" s="7" t="e">
        <f>ROUND(Table2[[#This Row],[Quantity]]*Table2[[#This Row],[Unit Price]]*VLOOKUP(#REF!,Table_1[#All],2,FALSE),0)</f>
        <v>#REF!</v>
      </c>
      <c r="K398" s="7">
        <f>Table2[[#This Row],[Quantity]]*Table2[[#This Row],[Unit Price]]</f>
        <v>2196</v>
      </c>
      <c r="L398" s="7" t="e">
        <f>Table2[[#This Row],[Sales Revenue]]-Table2[[#This Row],[Total Cost After Product Percentage Calc]]</f>
        <v>#REF!</v>
      </c>
    </row>
    <row r="399" spans="1:12" ht="14.25" customHeight="1" x14ac:dyDescent="0.3">
      <c r="A399" s="1">
        <v>2</v>
      </c>
      <c r="B399" s="1">
        <v>132</v>
      </c>
      <c r="C399" s="1" t="s">
        <v>20</v>
      </c>
      <c r="D399" s="1" t="s">
        <v>21</v>
      </c>
      <c r="E399" s="1" t="s">
        <v>22</v>
      </c>
      <c r="F399" t="e">
        <f>TEXT(#REF!,"YYY")</f>
        <v>#REF!</v>
      </c>
      <c r="G399" t="e">
        <f>TEXT(#REF!,"MMM")</f>
        <v>#REF!</v>
      </c>
      <c r="H399" t="e">
        <f>TEXT(#REF!,"DDD")</f>
        <v>#REF!</v>
      </c>
      <c r="I399" t="e">
        <f>DATEDIF(#REF!,#REF!,"D")</f>
        <v>#REF!</v>
      </c>
      <c r="J399" s="7" t="e">
        <f>ROUND(Table2[[#This Row],[Quantity]]*Table2[[#This Row],[Unit Price]]*VLOOKUP(#REF!,Table_1[#All],2,FALSE),0)</f>
        <v>#REF!</v>
      </c>
      <c r="K399" s="7">
        <f>Table2[[#This Row],[Quantity]]*Table2[[#This Row],[Unit Price]]</f>
        <v>264</v>
      </c>
      <c r="L399" s="7" t="e">
        <f>Table2[[#This Row],[Sales Revenue]]-Table2[[#This Row],[Total Cost After Product Percentage Calc]]</f>
        <v>#REF!</v>
      </c>
    </row>
    <row r="400" spans="1:12" ht="14.25" customHeight="1" x14ac:dyDescent="0.3">
      <c r="A400" s="1">
        <v>1</v>
      </c>
      <c r="B400" s="1">
        <v>102</v>
      </c>
      <c r="C400" s="1" t="s">
        <v>20</v>
      </c>
      <c r="D400" s="1" t="s">
        <v>11</v>
      </c>
      <c r="E400" s="1" t="s">
        <v>14</v>
      </c>
      <c r="F400" t="e">
        <f>TEXT(#REF!,"YYY")</f>
        <v>#REF!</v>
      </c>
      <c r="G400" t="e">
        <f>TEXT(#REF!,"MMM")</f>
        <v>#REF!</v>
      </c>
      <c r="H400" t="e">
        <f>TEXT(#REF!,"DDD")</f>
        <v>#REF!</v>
      </c>
      <c r="I400" t="e">
        <f>DATEDIF(#REF!,#REF!,"D")</f>
        <v>#REF!</v>
      </c>
      <c r="J400" s="7" t="e">
        <f>ROUND(Table2[[#This Row],[Quantity]]*Table2[[#This Row],[Unit Price]]*VLOOKUP(#REF!,Table_1[#All],2,FALSE),0)</f>
        <v>#REF!</v>
      </c>
      <c r="K400" s="7">
        <f>Table2[[#This Row],[Quantity]]*Table2[[#This Row],[Unit Price]]</f>
        <v>102</v>
      </c>
      <c r="L400" s="7" t="e">
        <f>Table2[[#This Row],[Sales Revenue]]-Table2[[#This Row],[Total Cost After Product Percentage Calc]]</f>
        <v>#REF!</v>
      </c>
    </row>
    <row r="401" spans="1:12" ht="14.25" customHeight="1" x14ac:dyDescent="0.3">
      <c r="A401" s="1">
        <v>5</v>
      </c>
      <c r="B401" s="1">
        <v>644</v>
      </c>
      <c r="C401" s="1" t="s">
        <v>10</v>
      </c>
      <c r="D401" s="1" t="s">
        <v>24</v>
      </c>
      <c r="E401" s="1" t="s">
        <v>22</v>
      </c>
      <c r="F401" t="e">
        <f>TEXT(#REF!,"YYY")</f>
        <v>#REF!</v>
      </c>
      <c r="G401" t="e">
        <f>TEXT(#REF!,"MMM")</f>
        <v>#REF!</v>
      </c>
      <c r="H401" t="e">
        <f>TEXT(#REF!,"DDD")</f>
        <v>#REF!</v>
      </c>
      <c r="I401" t="e">
        <f>DATEDIF(#REF!,#REF!,"D")</f>
        <v>#REF!</v>
      </c>
      <c r="J401" s="7" t="e">
        <f>ROUND(Table2[[#This Row],[Quantity]]*Table2[[#This Row],[Unit Price]]*VLOOKUP(#REF!,Table_1[#All],2,FALSE),0)</f>
        <v>#REF!</v>
      </c>
      <c r="K401" s="7">
        <f>Table2[[#This Row],[Quantity]]*Table2[[#This Row],[Unit Price]]</f>
        <v>3220</v>
      </c>
      <c r="L401" s="7" t="e">
        <f>Table2[[#This Row],[Sales Revenue]]-Table2[[#This Row],[Total Cost After Product Percentage Calc]]</f>
        <v>#REF!</v>
      </c>
    </row>
    <row r="402" spans="1:12" ht="14.25" customHeight="1" x14ac:dyDescent="0.3">
      <c r="A402" s="1">
        <v>7</v>
      </c>
      <c r="B402" s="1">
        <v>171</v>
      </c>
      <c r="C402" s="1" t="s">
        <v>20</v>
      </c>
      <c r="D402" s="1" t="s">
        <v>16</v>
      </c>
      <c r="E402" s="1" t="s">
        <v>12</v>
      </c>
      <c r="F402" t="e">
        <f>TEXT(#REF!,"YYY")</f>
        <v>#REF!</v>
      </c>
      <c r="G402" t="e">
        <f>TEXT(#REF!,"MMM")</f>
        <v>#REF!</v>
      </c>
      <c r="H402" t="e">
        <f>TEXT(#REF!,"DDD")</f>
        <v>#REF!</v>
      </c>
      <c r="I402" t="e">
        <f>DATEDIF(#REF!,#REF!,"D")</f>
        <v>#REF!</v>
      </c>
      <c r="J402" s="7" t="e">
        <f>ROUND(Table2[[#This Row],[Quantity]]*Table2[[#This Row],[Unit Price]]*VLOOKUP(#REF!,Table_1[#All],2,FALSE),0)</f>
        <v>#REF!</v>
      </c>
      <c r="K402" s="7">
        <f>Table2[[#This Row],[Quantity]]*Table2[[#This Row],[Unit Price]]</f>
        <v>1197</v>
      </c>
      <c r="L402" s="7" t="e">
        <f>Table2[[#This Row],[Sales Revenue]]-Table2[[#This Row],[Total Cost After Product Percentage Calc]]</f>
        <v>#REF!</v>
      </c>
    </row>
    <row r="403" spans="1:12" ht="14.25" customHeight="1" x14ac:dyDescent="0.3">
      <c r="A403" s="1">
        <v>8</v>
      </c>
      <c r="B403" s="1">
        <v>204</v>
      </c>
      <c r="C403" s="1" t="s">
        <v>20</v>
      </c>
      <c r="D403" s="1" t="s">
        <v>24</v>
      </c>
      <c r="E403" s="1" t="s">
        <v>12</v>
      </c>
      <c r="F403" t="e">
        <f>TEXT(#REF!,"YYY")</f>
        <v>#REF!</v>
      </c>
      <c r="G403" t="e">
        <f>TEXT(#REF!,"MMM")</f>
        <v>#REF!</v>
      </c>
      <c r="H403" t="e">
        <f>TEXT(#REF!,"DDD")</f>
        <v>#REF!</v>
      </c>
      <c r="I403" t="e">
        <f>DATEDIF(#REF!,#REF!,"D")</f>
        <v>#REF!</v>
      </c>
      <c r="J403" s="7" t="e">
        <f>ROUND(Table2[[#This Row],[Quantity]]*Table2[[#This Row],[Unit Price]]*VLOOKUP(#REF!,Table_1[#All],2,FALSE),0)</f>
        <v>#REF!</v>
      </c>
      <c r="K403" s="7">
        <f>Table2[[#This Row],[Quantity]]*Table2[[#This Row],[Unit Price]]</f>
        <v>1632</v>
      </c>
      <c r="L403" s="7" t="e">
        <f>Table2[[#This Row],[Sales Revenue]]-Table2[[#This Row],[Total Cost After Product Percentage Calc]]</f>
        <v>#REF!</v>
      </c>
    </row>
    <row r="404" spans="1:12" ht="14.25" customHeight="1" x14ac:dyDescent="0.3">
      <c r="A404" s="1">
        <v>1</v>
      </c>
      <c r="B404" s="1">
        <v>410</v>
      </c>
      <c r="C404" s="1" t="s">
        <v>20</v>
      </c>
      <c r="D404" s="1" t="s">
        <v>16</v>
      </c>
      <c r="E404" s="1" t="s">
        <v>14</v>
      </c>
      <c r="F404" t="e">
        <f>TEXT(#REF!,"YYY")</f>
        <v>#REF!</v>
      </c>
      <c r="G404" t="e">
        <f>TEXT(#REF!,"MMM")</f>
        <v>#REF!</v>
      </c>
      <c r="H404" t="e">
        <f>TEXT(#REF!,"DDD")</f>
        <v>#REF!</v>
      </c>
      <c r="I404" t="e">
        <f>DATEDIF(#REF!,#REF!,"D")</f>
        <v>#REF!</v>
      </c>
      <c r="J404" s="7" t="e">
        <f>ROUND(Table2[[#This Row],[Quantity]]*Table2[[#This Row],[Unit Price]]*VLOOKUP(#REF!,Table_1[#All],2,FALSE),0)</f>
        <v>#REF!</v>
      </c>
      <c r="K404" s="7">
        <f>Table2[[#This Row],[Quantity]]*Table2[[#This Row],[Unit Price]]</f>
        <v>410</v>
      </c>
      <c r="L404" s="7" t="e">
        <f>Table2[[#This Row],[Sales Revenue]]-Table2[[#This Row],[Total Cost After Product Percentage Calc]]</f>
        <v>#REF!</v>
      </c>
    </row>
    <row r="405" spans="1:12" ht="14.25" customHeight="1" x14ac:dyDescent="0.3">
      <c r="A405" s="1">
        <v>2</v>
      </c>
      <c r="B405" s="1">
        <v>874</v>
      </c>
      <c r="C405" s="1" t="s">
        <v>10</v>
      </c>
      <c r="D405" s="1" t="s">
        <v>11</v>
      </c>
      <c r="E405" s="1" t="s">
        <v>22</v>
      </c>
      <c r="F405" t="e">
        <f>TEXT(#REF!,"YYY")</f>
        <v>#REF!</v>
      </c>
      <c r="G405" t="e">
        <f>TEXT(#REF!,"MMM")</f>
        <v>#REF!</v>
      </c>
      <c r="H405" t="e">
        <f>TEXT(#REF!,"DDD")</f>
        <v>#REF!</v>
      </c>
      <c r="I405" t="e">
        <f>DATEDIF(#REF!,#REF!,"D")</f>
        <v>#REF!</v>
      </c>
      <c r="J405" s="7" t="e">
        <f>ROUND(Table2[[#This Row],[Quantity]]*Table2[[#This Row],[Unit Price]]*VLOOKUP(#REF!,Table_1[#All],2,FALSE),0)</f>
        <v>#REF!</v>
      </c>
      <c r="K405" s="7">
        <f>Table2[[#This Row],[Quantity]]*Table2[[#This Row],[Unit Price]]</f>
        <v>1748</v>
      </c>
      <c r="L405" s="7" t="e">
        <f>Table2[[#This Row],[Sales Revenue]]-Table2[[#This Row],[Total Cost After Product Percentage Calc]]</f>
        <v>#REF!</v>
      </c>
    </row>
    <row r="406" spans="1:12" ht="14.25" customHeight="1" x14ac:dyDescent="0.3">
      <c r="A406" s="1">
        <v>7</v>
      </c>
      <c r="B406" s="1">
        <v>855</v>
      </c>
      <c r="C406" s="1" t="s">
        <v>20</v>
      </c>
      <c r="D406" s="1" t="s">
        <v>21</v>
      </c>
      <c r="E406" s="1" t="s">
        <v>12</v>
      </c>
      <c r="F406" t="e">
        <f>TEXT(#REF!,"YYY")</f>
        <v>#REF!</v>
      </c>
      <c r="G406" t="e">
        <f>TEXT(#REF!,"MMM")</f>
        <v>#REF!</v>
      </c>
      <c r="H406" t="e">
        <f>TEXT(#REF!,"DDD")</f>
        <v>#REF!</v>
      </c>
      <c r="I406" t="e">
        <f>DATEDIF(#REF!,#REF!,"D")</f>
        <v>#REF!</v>
      </c>
      <c r="J406" s="7" t="e">
        <f>ROUND(Table2[[#This Row],[Quantity]]*Table2[[#This Row],[Unit Price]]*VLOOKUP(#REF!,Table_1[#All],2,FALSE),0)</f>
        <v>#REF!</v>
      </c>
      <c r="K406" s="7">
        <f>Table2[[#This Row],[Quantity]]*Table2[[#This Row],[Unit Price]]</f>
        <v>5985</v>
      </c>
      <c r="L406" s="7" t="e">
        <f>Table2[[#This Row],[Sales Revenue]]-Table2[[#This Row],[Total Cost After Product Percentage Calc]]</f>
        <v>#REF!</v>
      </c>
    </row>
    <row r="407" spans="1:12" ht="14.25" customHeight="1" x14ac:dyDescent="0.3">
      <c r="A407" s="1">
        <v>1</v>
      </c>
      <c r="B407" s="1">
        <v>386</v>
      </c>
      <c r="C407" s="1" t="s">
        <v>10</v>
      </c>
      <c r="D407" s="1" t="s">
        <v>11</v>
      </c>
      <c r="E407" s="1" t="s">
        <v>14</v>
      </c>
      <c r="F407" t="e">
        <f>TEXT(#REF!,"YYY")</f>
        <v>#REF!</v>
      </c>
      <c r="G407" t="e">
        <f>TEXT(#REF!,"MMM")</f>
        <v>#REF!</v>
      </c>
      <c r="H407" t="e">
        <f>TEXT(#REF!,"DDD")</f>
        <v>#REF!</v>
      </c>
      <c r="I407" t="e">
        <f>DATEDIF(#REF!,#REF!,"D")</f>
        <v>#REF!</v>
      </c>
      <c r="J407" s="7" t="e">
        <f>ROUND(Table2[[#This Row],[Quantity]]*Table2[[#This Row],[Unit Price]]*VLOOKUP(#REF!,Table_1[#All],2,FALSE),0)</f>
        <v>#REF!</v>
      </c>
      <c r="K407" s="7">
        <f>Table2[[#This Row],[Quantity]]*Table2[[#This Row],[Unit Price]]</f>
        <v>386</v>
      </c>
      <c r="L407" s="7" t="e">
        <f>Table2[[#This Row],[Sales Revenue]]-Table2[[#This Row],[Total Cost After Product Percentage Calc]]</f>
        <v>#REF!</v>
      </c>
    </row>
    <row r="408" spans="1:12" ht="14.25" customHeight="1" x14ac:dyDescent="0.3">
      <c r="A408" s="1">
        <v>9</v>
      </c>
      <c r="B408" s="1">
        <v>309</v>
      </c>
      <c r="C408" s="1" t="s">
        <v>20</v>
      </c>
      <c r="D408" s="1" t="s">
        <v>31</v>
      </c>
      <c r="E408" s="1" t="s">
        <v>30</v>
      </c>
      <c r="F408" t="e">
        <f>TEXT(#REF!,"YYY")</f>
        <v>#REF!</v>
      </c>
      <c r="G408" t="e">
        <f>TEXT(#REF!,"MMM")</f>
        <v>#REF!</v>
      </c>
      <c r="H408" t="e">
        <f>TEXT(#REF!,"DDD")</f>
        <v>#REF!</v>
      </c>
      <c r="I408" t="e">
        <f>DATEDIF(#REF!,#REF!,"D")</f>
        <v>#REF!</v>
      </c>
      <c r="J408" s="7" t="e">
        <f>ROUND(Table2[[#This Row],[Quantity]]*Table2[[#This Row],[Unit Price]]*VLOOKUP(#REF!,Table_1[#All],2,FALSE),0)</f>
        <v>#REF!</v>
      </c>
      <c r="K408" s="7">
        <f>Table2[[#This Row],[Quantity]]*Table2[[#This Row],[Unit Price]]</f>
        <v>2781</v>
      </c>
      <c r="L408" s="7" t="e">
        <f>Table2[[#This Row],[Sales Revenue]]-Table2[[#This Row],[Total Cost After Product Percentage Calc]]</f>
        <v>#REF!</v>
      </c>
    </row>
    <row r="409" spans="1:12" ht="14.25" customHeight="1" x14ac:dyDescent="0.3">
      <c r="A409" s="1">
        <v>3</v>
      </c>
      <c r="B409" s="1">
        <v>97</v>
      </c>
      <c r="C409" s="1" t="s">
        <v>10</v>
      </c>
      <c r="D409" s="1" t="s">
        <v>21</v>
      </c>
      <c r="E409" s="1" t="s">
        <v>12</v>
      </c>
      <c r="F409" t="e">
        <f>TEXT(#REF!,"YYY")</f>
        <v>#REF!</v>
      </c>
      <c r="G409" t="e">
        <f>TEXT(#REF!,"MMM")</f>
        <v>#REF!</v>
      </c>
      <c r="H409" t="e">
        <f>TEXT(#REF!,"DDD")</f>
        <v>#REF!</v>
      </c>
      <c r="I409" t="e">
        <f>DATEDIF(#REF!,#REF!,"D")</f>
        <v>#REF!</v>
      </c>
      <c r="J409" s="7" t="e">
        <f>ROUND(Table2[[#This Row],[Quantity]]*Table2[[#This Row],[Unit Price]]*VLOOKUP(#REF!,Table_1[#All],2,FALSE),0)</f>
        <v>#REF!</v>
      </c>
      <c r="K409" s="7">
        <f>Table2[[#This Row],[Quantity]]*Table2[[#This Row],[Unit Price]]</f>
        <v>291</v>
      </c>
      <c r="L409" s="7" t="e">
        <f>Table2[[#This Row],[Sales Revenue]]-Table2[[#This Row],[Total Cost After Product Percentage Calc]]</f>
        <v>#REF!</v>
      </c>
    </row>
    <row r="410" spans="1:12" ht="14.25" customHeight="1" x14ac:dyDescent="0.3">
      <c r="A410" s="1">
        <v>4</v>
      </c>
      <c r="B410" s="1">
        <v>180</v>
      </c>
      <c r="C410" s="1" t="s">
        <v>20</v>
      </c>
      <c r="D410" s="1" t="s">
        <v>16</v>
      </c>
      <c r="E410" s="1" t="s">
        <v>30</v>
      </c>
      <c r="F410" t="e">
        <f>TEXT(#REF!,"YYY")</f>
        <v>#REF!</v>
      </c>
      <c r="G410" t="e">
        <f>TEXT(#REF!,"MMM")</f>
        <v>#REF!</v>
      </c>
      <c r="H410" t="e">
        <f>TEXT(#REF!,"DDD")</f>
        <v>#REF!</v>
      </c>
      <c r="I410" t="e">
        <f>DATEDIF(#REF!,#REF!,"D")</f>
        <v>#REF!</v>
      </c>
      <c r="J410" s="7" t="e">
        <f>ROUND(Table2[[#This Row],[Quantity]]*Table2[[#This Row],[Unit Price]]*VLOOKUP(#REF!,Table_1[#All],2,FALSE),0)</f>
        <v>#REF!</v>
      </c>
      <c r="K410" s="7">
        <f>Table2[[#This Row],[Quantity]]*Table2[[#This Row],[Unit Price]]</f>
        <v>720</v>
      </c>
      <c r="L410" s="7" t="e">
        <f>Table2[[#This Row],[Sales Revenue]]-Table2[[#This Row],[Total Cost After Product Percentage Calc]]</f>
        <v>#REF!</v>
      </c>
    </row>
    <row r="411" spans="1:12" ht="14.25" customHeight="1" x14ac:dyDescent="0.3">
      <c r="A411" s="1">
        <v>1</v>
      </c>
      <c r="B411" s="1">
        <v>187</v>
      </c>
      <c r="C411" s="1" t="s">
        <v>20</v>
      </c>
      <c r="D411" s="1" t="s">
        <v>11</v>
      </c>
      <c r="E411" s="1" t="s">
        <v>14</v>
      </c>
      <c r="F411" t="e">
        <f>TEXT(#REF!,"YYY")</f>
        <v>#REF!</v>
      </c>
      <c r="G411" t="e">
        <f>TEXT(#REF!,"MMM")</f>
        <v>#REF!</v>
      </c>
      <c r="H411" t="e">
        <f>TEXT(#REF!,"DDD")</f>
        <v>#REF!</v>
      </c>
      <c r="I411" t="e">
        <f>DATEDIF(#REF!,#REF!,"D")</f>
        <v>#REF!</v>
      </c>
      <c r="J411" s="7" t="e">
        <f>ROUND(Table2[[#This Row],[Quantity]]*Table2[[#This Row],[Unit Price]]*VLOOKUP(#REF!,Table_1[#All],2,FALSE),0)</f>
        <v>#REF!</v>
      </c>
      <c r="K411" s="7">
        <f>Table2[[#This Row],[Quantity]]*Table2[[#This Row],[Unit Price]]</f>
        <v>187</v>
      </c>
      <c r="L411" s="7" t="e">
        <f>Table2[[#This Row],[Sales Revenue]]-Table2[[#This Row],[Total Cost After Product Percentage Calc]]</f>
        <v>#REF!</v>
      </c>
    </row>
    <row r="412" spans="1:12" ht="14.25" customHeight="1" x14ac:dyDescent="0.3">
      <c r="A412" s="1">
        <v>9</v>
      </c>
      <c r="B412" s="1">
        <v>286</v>
      </c>
      <c r="C412" s="1" t="s">
        <v>20</v>
      </c>
      <c r="D412" s="1" t="s">
        <v>24</v>
      </c>
      <c r="E412" s="1" t="s">
        <v>30</v>
      </c>
      <c r="F412" t="e">
        <f>TEXT(#REF!,"YYY")</f>
        <v>#REF!</v>
      </c>
      <c r="G412" t="e">
        <f>TEXT(#REF!,"MMM")</f>
        <v>#REF!</v>
      </c>
      <c r="H412" t="e">
        <f>TEXT(#REF!,"DDD")</f>
        <v>#REF!</v>
      </c>
      <c r="I412" t="e">
        <f>DATEDIF(#REF!,#REF!,"D")</f>
        <v>#REF!</v>
      </c>
      <c r="J412" s="7" t="e">
        <f>ROUND(Table2[[#This Row],[Quantity]]*Table2[[#This Row],[Unit Price]]*VLOOKUP(#REF!,Table_1[#All],2,FALSE),0)</f>
        <v>#REF!</v>
      </c>
      <c r="K412" s="7">
        <f>Table2[[#This Row],[Quantity]]*Table2[[#This Row],[Unit Price]]</f>
        <v>2574</v>
      </c>
      <c r="L412" s="7" t="e">
        <f>Table2[[#This Row],[Sales Revenue]]-Table2[[#This Row],[Total Cost After Product Percentage Calc]]</f>
        <v>#REF!</v>
      </c>
    </row>
    <row r="413" spans="1:12" ht="14.25" customHeight="1" x14ac:dyDescent="0.3">
      <c r="A413" s="1">
        <v>6</v>
      </c>
      <c r="B413" s="1">
        <v>541</v>
      </c>
      <c r="C413" s="1" t="s">
        <v>20</v>
      </c>
      <c r="D413" s="1" t="s">
        <v>11</v>
      </c>
      <c r="E413" s="1" t="s">
        <v>12</v>
      </c>
      <c r="F413" t="e">
        <f>TEXT(#REF!,"YYY")</f>
        <v>#REF!</v>
      </c>
      <c r="G413" t="e">
        <f>TEXT(#REF!,"MMM")</f>
        <v>#REF!</v>
      </c>
      <c r="H413" t="e">
        <f>TEXT(#REF!,"DDD")</f>
        <v>#REF!</v>
      </c>
      <c r="I413" t="e">
        <f>DATEDIF(#REF!,#REF!,"D")</f>
        <v>#REF!</v>
      </c>
      <c r="J413" s="7" t="e">
        <f>ROUND(Table2[[#This Row],[Quantity]]*Table2[[#This Row],[Unit Price]]*VLOOKUP(#REF!,Table_1[#All],2,FALSE),0)</f>
        <v>#REF!</v>
      </c>
      <c r="K413" s="7">
        <f>Table2[[#This Row],[Quantity]]*Table2[[#This Row],[Unit Price]]</f>
        <v>3246</v>
      </c>
      <c r="L413" s="7" t="e">
        <f>Table2[[#This Row],[Sales Revenue]]-Table2[[#This Row],[Total Cost After Product Percentage Calc]]</f>
        <v>#REF!</v>
      </c>
    </row>
    <row r="414" spans="1:12" ht="14.25" customHeight="1" x14ac:dyDescent="0.3">
      <c r="A414" s="1">
        <v>8</v>
      </c>
      <c r="B414" s="1">
        <v>779</v>
      </c>
      <c r="C414" s="1" t="s">
        <v>10</v>
      </c>
      <c r="D414" s="1" t="s">
        <v>21</v>
      </c>
      <c r="E414" s="1" t="s">
        <v>22</v>
      </c>
      <c r="F414" t="e">
        <f>TEXT(#REF!,"YYY")</f>
        <v>#REF!</v>
      </c>
      <c r="G414" t="e">
        <f>TEXT(#REF!,"MMM")</f>
        <v>#REF!</v>
      </c>
      <c r="H414" t="e">
        <f>TEXT(#REF!,"DDD")</f>
        <v>#REF!</v>
      </c>
      <c r="I414" t="e">
        <f>DATEDIF(#REF!,#REF!,"D")</f>
        <v>#REF!</v>
      </c>
      <c r="J414" s="7" t="e">
        <f>ROUND(Table2[[#This Row],[Quantity]]*Table2[[#This Row],[Unit Price]]*VLOOKUP(#REF!,Table_1[#All],2,FALSE),0)</f>
        <v>#REF!</v>
      </c>
      <c r="K414" s="7">
        <f>Table2[[#This Row],[Quantity]]*Table2[[#This Row],[Unit Price]]</f>
        <v>6232</v>
      </c>
      <c r="L414" s="7" t="e">
        <f>Table2[[#This Row],[Sales Revenue]]-Table2[[#This Row],[Total Cost After Product Percentage Calc]]</f>
        <v>#REF!</v>
      </c>
    </row>
    <row r="415" spans="1:12" ht="14.25" customHeight="1" x14ac:dyDescent="0.3">
      <c r="A415" s="1">
        <v>4</v>
      </c>
      <c r="B415" s="1">
        <v>249</v>
      </c>
      <c r="C415" s="1" t="s">
        <v>20</v>
      </c>
      <c r="D415" s="1" t="s">
        <v>11</v>
      </c>
      <c r="E415" s="1" t="s">
        <v>12</v>
      </c>
      <c r="F415" t="e">
        <f>TEXT(#REF!,"YYY")</f>
        <v>#REF!</v>
      </c>
      <c r="G415" t="e">
        <f>TEXT(#REF!,"MMM")</f>
        <v>#REF!</v>
      </c>
      <c r="H415" t="e">
        <f>TEXT(#REF!,"DDD")</f>
        <v>#REF!</v>
      </c>
      <c r="I415" t="e">
        <f>DATEDIF(#REF!,#REF!,"D")</f>
        <v>#REF!</v>
      </c>
      <c r="J415" s="7" t="e">
        <f>ROUND(Table2[[#This Row],[Quantity]]*Table2[[#This Row],[Unit Price]]*VLOOKUP(#REF!,Table_1[#All],2,FALSE),0)</f>
        <v>#REF!</v>
      </c>
      <c r="K415" s="7">
        <f>Table2[[#This Row],[Quantity]]*Table2[[#This Row],[Unit Price]]</f>
        <v>996</v>
      </c>
      <c r="L415" s="7" t="e">
        <f>Table2[[#This Row],[Sales Revenue]]-Table2[[#This Row],[Total Cost After Product Percentage Calc]]</f>
        <v>#REF!</v>
      </c>
    </row>
    <row r="416" spans="1:12" ht="14.25" customHeight="1" x14ac:dyDescent="0.3">
      <c r="A416" s="1">
        <v>2</v>
      </c>
      <c r="B416" s="1">
        <v>146</v>
      </c>
      <c r="C416" s="1" t="s">
        <v>20</v>
      </c>
      <c r="D416" s="1" t="s">
        <v>31</v>
      </c>
      <c r="E416" s="1" t="s">
        <v>30</v>
      </c>
      <c r="F416" t="e">
        <f>TEXT(#REF!,"YYY")</f>
        <v>#REF!</v>
      </c>
      <c r="G416" t="e">
        <f>TEXT(#REF!,"MMM")</f>
        <v>#REF!</v>
      </c>
      <c r="H416" t="e">
        <f>TEXT(#REF!,"DDD")</f>
        <v>#REF!</v>
      </c>
      <c r="I416" t="e">
        <f>DATEDIF(#REF!,#REF!,"D")</f>
        <v>#REF!</v>
      </c>
      <c r="J416" s="7" t="e">
        <f>ROUND(Table2[[#This Row],[Quantity]]*Table2[[#This Row],[Unit Price]]*VLOOKUP(#REF!,Table_1[#All],2,FALSE),0)</f>
        <v>#REF!</v>
      </c>
      <c r="K416" s="7">
        <f>Table2[[#This Row],[Quantity]]*Table2[[#This Row],[Unit Price]]</f>
        <v>292</v>
      </c>
      <c r="L416" s="7" t="e">
        <f>Table2[[#This Row],[Sales Revenue]]-Table2[[#This Row],[Total Cost After Product Percentage Calc]]</f>
        <v>#REF!</v>
      </c>
    </row>
    <row r="417" spans="1:12" ht="14.25" customHeight="1" x14ac:dyDescent="0.3">
      <c r="A417" s="1">
        <v>1</v>
      </c>
      <c r="B417" s="1">
        <v>333</v>
      </c>
      <c r="C417" s="1" t="s">
        <v>20</v>
      </c>
      <c r="D417" s="1" t="s">
        <v>24</v>
      </c>
      <c r="E417" s="1" t="s">
        <v>12</v>
      </c>
      <c r="F417" t="e">
        <f>TEXT(#REF!,"YYY")</f>
        <v>#REF!</v>
      </c>
      <c r="G417" t="e">
        <f>TEXT(#REF!,"MMM")</f>
        <v>#REF!</v>
      </c>
      <c r="H417" t="e">
        <f>TEXT(#REF!,"DDD")</f>
        <v>#REF!</v>
      </c>
      <c r="I417" t="e">
        <f>DATEDIF(#REF!,#REF!,"D")</f>
        <v>#REF!</v>
      </c>
      <c r="J417" s="7" t="e">
        <f>ROUND(Table2[[#This Row],[Quantity]]*Table2[[#This Row],[Unit Price]]*VLOOKUP(#REF!,Table_1[#All],2,FALSE),0)</f>
        <v>#REF!</v>
      </c>
      <c r="K417" s="7">
        <f>Table2[[#This Row],[Quantity]]*Table2[[#This Row],[Unit Price]]</f>
        <v>333</v>
      </c>
      <c r="L417" s="7" t="e">
        <f>Table2[[#This Row],[Sales Revenue]]-Table2[[#This Row],[Total Cost After Product Percentage Calc]]</f>
        <v>#REF!</v>
      </c>
    </row>
    <row r="418" spans="1:12" ht="14.25" customHeight="1" x14ac:dyDescent="0.3">
      <c r="A418" s="1">
        <v>9</v>
      </c>
      <c r="B418" s="1">
        <v>687</v>
      </c>
      <c r="C418" s="1" t="s">
        <v>20</v>
      </c>
      <c r="D418" s="1" t="s">
        <v>31</v>
      </c>
      <c r="E418" s="1" t="s">
        <v>22</v>
      </c>
      <c r="F418" t="e">
        <f>TEXT(#REF!,"YYY")</f>
        <v>#REF!</v>
      </c>
      <c r="G418" t="e">
        <f>TEXT(#REF!,"MMM")</f>
        <v>#REF!</v>
      </c>
      <c r="H418" t="e">
        <f>TEXT(#REF!,"DDD")</f>
        <v>#REF!</v>
      </c>
      <c r="I418" t="e">
        <f>DATEDIF(#REF!,#REF!,"D")</f>
        <v>#REF!</v>
      </c>
      <c r="J418" s="7" t="e">
        <f>ROUND(Table2[[#This Row],[Quantity]]*Table2[[#This Row],[Unit Price]]*VLOOKUP(#REF!,Table_1[#All],2,FALSE),0)</f>
        <v>#REF!</v>
      </c>
      <c r="K418" s="7">
        <f>Table2[[#This Row],[Quantity]]*Table2[[#This Row],[Unit Price]]</f>
        <v>6183</v>
      </c>
      <c r="L418" s="7" t="e">
        <f>Table2[[#This Row],[Sales Revenue]]-Table2[[#This Row],[Total Cost After Product Percentage Calc]]</f>
        <v>#REF!</v>
      </c>
    </row>
    <row r="419" spans="1:12" ht="14.25" customHeight="1" x14ac:dyDescent="0.3">
      <c r="A419" s="1">
        <v>6</v>
      </c>
      <c r="B419" s="1">
        <v>342</v>
      </c>
      <c r="C419" s="1" t="s">
        <v>10</v>
      </c>
      <c r="D419" s="1" t="s">
        <v>24</v>
      </c>
      <c r="E419" s="1" t="s">
        <v>22</v>
      </c>
      <c r="F419" t="e">
        <f>TEXT(#REF!,"YYY")</f>
        <v>#REF!</v>
      </c>
      <c r="G419" t="e">
        <f>TEXT(#REF!,"MMM")</f>
        <v>#REF!</v>
      </c>
      <c r="H419" t="e">
        <f>TEXT(#REF!,"DDD")</f>
        <v>#REF!</v>
      </c>
      <c r="I419" t="e">
        <f>DATEDIF(#REF!,#REF!,"D")</f>
        <v>#REF!</v>
      </c>
      <c r="J419" s="7" t="e">
        <f>ROUND(Table2[[#This Row],[Quantity]]*Table2[[#This Row],[Unit Price]]*VLOOKUP(#REF!,Table_1[#All],2,FALSE),0)</f>
        <v>#REF!</v>
      </c>
      <c r="K419" s="7">
        <f>Table2[[#This Row],[Quantity]]*Table2[[#This Row],[Unit Price]]</f>
        <v>2052</v>
      </c>
      <c r="L419" s="7" t="e">
        <f>Table2[[#This Row],[Sales Revenue]]-Table2[[#This Row],[Total Cost After Product Percentage Calc]]</f>
        <v>#REF!</v>
      </c>
    </row>
    <row r="420" spans="1:12" ht="14.25" customHeight="1" x14ac:dyDescent="0.3">
      <c r="A420" s="1">
        <v>6</v>
      </c>
      <c r="B420" s="1">
        <v>461</v>
      </c>
      <c r="C420" s="1" t="s">
        <v>10</v>
      </c>
      <c r="D420" s="1" t="s">
        <v>21</v>
      </c>
      <c r="E420" s="1" t="s">
        <v>12</v>
      </c>
      <c r="F420" t="e">
        <f>TEXT(#REF!,"YYY")</f>
        <v>#REF!</v>
      </c>
      <c r="G420" t="e">
        <f>TEXT(#REF!,"MMM")</f>
        <v>#REF!</v>
      </c>
      <c r="H420" t="e">
        <f>TEXT(#REF!,"DDD")</f>
        <v>#REF!</v>
      </c>
      <c r="I420" t="e">
        <f>DATEDIF(#REF!,#REF!,"D")</f>
        <v>#REF!</v>
      </c>
      <c r="J420" s="7" t="e">
        <f>ROUND(Table2[[#This Row],[Quantity]]*Table2[[#This Row],[Unit Price]]*VLOOKUP(#REF!,Table_1[#All],2,FALSE),0)</f>
        <v>#REF!</v>
      </c>
      <c r="K420" s="7">
        <f>Table2[[#This Row],[Quantity]]*Table2[[#This Row],[Unit Price]]</f>
        <v>2766</v>
      </c>
      <c r="L420" s="7" t="e">
        <f>Table2[[#This Row],[Sales Revenue]]-Table2[[#This Row],[Total Cost After Product Percentage Calc]]</f>
        <v>#REF!</v>
      </c>
    </row>
    <row r="421" spans="1:12" ht="14.25" customHeight="1" x14ac:dyDescent="0.3">
      <c r="A421" s="1">
        <v>4</v>
      </c>
      <c r="B421" s="1">
        <v>371</v>
      </c>
      <c r="C421" s="1" t="s">
        <v>20</v>
      </c>
      <c r="D421" s="1" t="s">
        <v>16</v>
      </c>
      <c r="E421" s="1" t="s">
        <v>30</v>
      </c>
      <c r="F421" t="e">
        <f>TEXT(#REF!,"YYY")</f>
        <v>#REF!</v>
      </c>
      <c r="G421" t="e">
        <f>TEXT(#REF!,"MMM")</f>
        <v>#REF!</v>
      </c>
      <c r="H421" t="e">
        <f>TEXT(#REF!,"DDD")</f>
        <v>#REF!</v>
      </c>
      <c r="I421" t="e">
        <f>DATEDIF(#REF!,#REF!,"D")</f>
        <v>#REF!</v>
      </c>
      <c r="J421" s="7" t="e">
        <f>ROUND(Table2[[#This Row],[Quantity]]*Table2[[#This Row],[Unit Price]]*VLOOKUP(#REF!,Table_1[#All],2,FALSE),0)</f>
        <v>#REF!</v>
      </c>
      <c r="K421" s="7">
        <f>Table2[[#This Row],[Quantity]]*Table2[[#This Row],[Unit Price]]</f>
        <v>1484</v>
      </c>
      <c r="L421" s="7" t="e">
        <f>Table2[[#This Row],[Sales Revenue]]-Table2[[#This Row],[Total Cost After Product Percentage Calc]]</f>
        <v>#REF!</v>
      </c>
    </row>
    <row r="422" spans="1:12" ht="14.25" customHeight="1" x14ac:dyDescent="0.3">
      <c r="A422" s="1">
        <v>1</v>
      </c>
      <c r="B422" s="1">
        <v>200</v>
      </c>
      <c r="C422" s="1" t="s">
        <v>20</v>
      </c>
      <c r="D422" s="1" t="s">
        <v>16</v>
      </c>
      <c r="E422" s="1" t="s">
        <v>14</v>
      </c>
      <c r="F422" t="e">
        <f>TEXT(#REF!,"YYY")</f>
        <v>#REF!</v>
      </c>
      <c r="G422" t="e">
        <f>TEXT(#REF!,"MMM")</f>
        <v>#REF!</v>
      </c>
      <c r="H422" t="e">
        <f>TEXT(#REF!,"DDD")</f>
        <v>#REF!</v>
      </c>
      <c r="I422" t="e">
        <f>DATEDIF(#REF!,#REF!,"D")</f>
        <v>#REF!</v>
      </c>
      <c r="J422" s="7" t="e">
        <f>ROUND(Table2[[#This Row],[Quantity]]*Table2[[#This Row],[Unit Price]]*VLOOKUP(#REF!,Table_1[#All],2,FALSE),0)</f>
        <v>#REF!</v>
      </c>
      <c r="K422" s="7">
        <f>Table2[[#This Row],[Quantity]]*Table2[[#This Row],[Unit Price]]</f>
        <v>200</v>
      </c>
      <c r="L422" s="7" t="e">
        <f>Table2[[#This Row],[Sales Revenue]]-Table2[[#This Row],[Total Cost After Product Percentage Calc]]</f>
        <v>#REF!</v>
      </c>
    </row>
    <row r="423" spans="1:12" ht="14.25" customHeight="1" x14ac:dyDescent="0.3">
      <c r="A423" s="1">
        <v>3</v>
      </c>
      <c r="B423" s="1">
        <v>356</v>
      </c>
      <c r="C423" s="1" t="s">
        <v>10</v>
      </c>
      <c r="D423" s="1" t="s">
        <v>16</v>
      </c>
      <c r="E423" s="1" t="s">
        <v>30</v>
      </c>
      <c r="F423" t="e">
        <f>TEXT(#REF!,"YYY")</f>
        <v>#REF!</v>
      </c>
      <c r="G423" t="e">
        <f>TEXT(#REF!,"MMM")</f>
        <v>#REF!</v>
      </c>
      <c r="H423" t="e">
        <f>TEXT(#REF!,"DDD")</f>
        <v>#REF!</v>
      </c>
      <c r="I423" t="e">
        <f>DATEDIF(#REF!,#REF!,"D")</f>
        <v>#REF!</v>
      </c>
      <c r="J423" s="7" t="e">
        <f>ROUND(Table2[[#This Row],[Quantity]]*Table2[[#This Row],[Unit Price]]*VLOOKUP(#REF!,Table_1[#All],2,FALSE),0)</f>
        <v>#REF!</v>
      </c>
      <c r="K423" s="7">
        <f>Table2[[#This Row],[Quantity]]*Table2[[#This Row],[Unit Price]]</f>
        <v>1068</v>
      </c>
      <c r="L423" s="7" t="e">
        <f>Table2[[#This Row],[Sales Revenue]]-Table2[[#This Row],[Total Cost After Product Percentage Calc]]</f>
        <v>#REF!</v>
      </c>
    </row>
    <row r="424" spans="1:12" ht="14.25" customHeight="1" x14ac:dyDescent="0.3">
      <c r="A424" s="1">
        <v>4</v>
      </c>
      <c r="B424" s="1">
        <v>587</v>
      </c>
      <c r="C424" s="1" t="s">
        <v>10</v>
      </c>
      <c r="D424" s="1" t="s">
        <v>31</v>
      </c>
      <c r="E424" s="1" t="s">
        <v>30</v>
      </c>
      <c r="F424" t="e">
        <f>TEXT(#REF!,"YYY")</f>
        <v>#REF!</v>
      </c>
      <c r="G424" t="e">
        <f>TEXT(#REF!,"MMM")</f>
        <v>#REF!</v>
      </c>
      <c r="H424" t="e">
        <f>TEXT(#REF!,"DDD")</f>
        <v>#REF!</v>
      </c>
      <c r="I424" t="e">
        <f>DATEDIF(#REF!,#REF!,"D")</f>
        <v>#REF!</v>
      </c>
      <c r="J424" s="7" t="e">
        <f>ROUND(Table2[[#This Row],[Quantity]]*Table2[[#This Row],[Unit Price]]*VLOOKUP(#REF!,Table_1[#All],2,FALSE),0)</f>
        <v>#REF!</v>
      </c>
      <c r="K424" s="7">
        <f>Table2[[#This Row],[Quantity]]*Table2[[#This Row],[Unit Price]]</f>
        <v>2348</v>
      </c>
      <c r="L424" s="7" t="e">
        <f>Table2[[#This Row],[Sales Revenue]]-Table2[[#This Row],[Total Cost After Product Percentage Calc]]</f>
        <v>#REF!</v>
      </c>
    </row>
    <row r="425" spans="1:12" ht="14.25" customHeight="1" x14ac:dyDescent="0.3">
      <c r="A425" s="1">
        <v>4</v>
      </c>
      <c r="B425" s="1">
        <v>441</v>
      </c>
      <c r="C425" s="1" t="s">
        <v>10</v>
      </c>
      <c r="D425" s="1" t="s">
        <v>24</v>
      </c>
      <c r="E425" s="1" t="s">
        <v>12</v>
      </c>
      <c r="F425" t="e">
        <f>TEXT(#REF!,"YYY")</f>
        <v>#REF!</v>
      </c>
      <c r="G425" t="e">
        <f>TEXT(#REF!,"MMM")</f>
        <v>#REF!</v>
      </c>
      <c r="H425" t="e">
        <f>TEXT(#REF!,"DDD")</f>
        <v>#REF!</v>
      </c>
      <c r="I425" t="e">
        <f>DATEDIF(#REF!,#REF!,"D")</f>
        <v>#REF!</v>
      </c>
      <c r="J425" s="7" t="e">
        <f>ROUND(Table2[[#This Row],[Quantity]]*Table2[[#This Row],[Unit Price]]*VLOOKUP(#REF!,Table_1[#All],2,FALSE),0)</f>
        <v>#REF!</v>
      </c>
      <c r="K425" s="7">
        <f>Table2[[#This Row],[Quantity]]*Table2[[#This Row],[Unit Price]]</f>
        <v>1764</v>
      </c>
      <c r="L425" s="7" t="e">
        <f>Table2[[#This Row],[Sales Revenue]]-Table2[[#This Row],[Total Cost After Product Percentage Calc]]</f>
        <v>#REF!</v>
      </c>
    </row>
    <row r="426" spans="1:12" ht="14.25" customHeight="1" x14ac:dyDescent="0.3">
      <c r="A426" s="1">
        <v>8</v>
      </c>
      <c r="B426" s="1">
        <v>953</v>
      </c>
      <c r="C426" s="1" t="s">
        <v>10</v>
      </c>
      <c r="D426" s="1" t="s">
        <v>16</v>
      </c>
      <c r="E426" s="1" t="s">
        <v>22</v>
      </c>
      <c r="F426" t="e">
        <f>TEXT(#REF!,"YYY")</f>
        <v>#REF!</v>
      </c>
      <c r="G426" t="e">
        <f>TEXT(#REF!,"MMM")</f>
        <v>#REF!</v>
      </c>
      <c r="H426" t="e">
        <f>TEXT(#REF!,"DDD")</f>
        <v>#REF!</v>
      </c>
      <c r="I426" t="e">
        <f>DATEDIF(#REF!,#REF!,"D")</f>
        <v>#REF!</v>
      </c>
      <c r="J426" s="7" t="e">
        <f>ROUND(Table2[[#This Row],[Quantity]]*Table2[[#This Row],[Unit Price]]*VLOOKUP(#REF!,Table_1[#All],2,FALSE),0)</f>
        <v>#REF!</v>
      </c>
      <c r="K426" s="7">
        <f>Table2[[#This Row],[Quantity]]*Table2[[#This Row],[Unit Price]]</f>
        <v>7624</v>
      </c>
      <c r="L426" s="7" t="e">
        <f>Table2[[#This Row],[Sales Revenue]]-Table2[[#This Row],[Total Cost After Product Percentage Calc]]</f>
        <v>#REF!</v>
      </c>
    </row>
    <row r="427" spans="1:12" ht="14.25" customHeight="1" x14ac:dyDescent="0.3">
      <c r="A427" s="1">
        <v>10</v>
      </c>
      <c r="B427" s="1">
        <v>356</v>
      </c>
      <c r="C427" s="1" t="s">
        <v>10</v>
      </c>
      <c r="D427" s="1" t="s">
        <v>31</v>
      </c>
      <c r="E427" s="1" t="s">
        <v>30</v>
      </c>
      <c r="F427" t="e">
        <f>TEXT(#REF!,"YYY")</f>
        <v>#REF!</v>
      </c>
      <c r="G427" t="e">
        <f>TEXT(#REF!,"MMM")</f>
        <v>#REF!</v>
      </c>
      <c r="H427" t="e">
        <f>TEXT(#REF!,"DDD")</f>
        <v>#REF!</v>
      </c>
      <c r="I427" t="e">
        <f>DATEDIF(#REF!,#REF!,"D")</f>
        <v>#REF!</v>
      </c>
      <c r="J427" s="7" t="e">
        <f>ROUND(Table2[[#This Row],[Quantity]]*Table2[[#This Row],[Unit Price]]*VLOOKUP(#REF!,Table_1[#All],2,FALSE),0)</f>
        <v>#REF!</v>
      </c>
      <c r="K427" s="7">
        <f>Table2[[#This Row],[Quantity]]*Table2[[#This Row],[Unit Price]]</f>
        <v>3560</v>
      </c>
      <c r="L427" s="7" t="e">
        <f>Table2[[#This Row],[Sales Revenue]]-Table2[[#This Row],[Total Cost After Product Percentage Calc]]</f>
        <v>#REF!</v>
      </c>
    </row>
    <row r="428" spans="1:12" ht="14.25" customHeight="1" x14ac:dyDescent="0.3">
      <c r="A428" s="1">
        <v>9</v>
      </c>
      <c r="B428" s="1">
        <v>855</v>
      </c>
      <c r="C428" s="1" t="s">
        <v>20</v>
      </c>
      <c r="D428" s="1" t="s">
        <v>24</v>
      </c>
      <c r="E428" s="1" t="s">
        <v>14</v>
      </c>
      <c r="F428" t="e">
        <f>TEXT(#REF!,"YYY")</f>
        <v>#REF!</v>
      </c>
      <c r="G428" t="e">
        <f>TEXT(#REF!,"MMM")</f>
        <v>#REF!</v>
      </c>
      <c r="H428" t="e">
        <f>TEXT(#REF!,"DDD")</f>
        <v>#REF!</v>
      </c>
      <c r="I428" t="e">
        <f>DATEDIF(#REF!,#REF!,"D")</f>
        <v>#REF!</v>
      </c>
      <c r="J428" s="7" t="e">
        <f>ROUND(Table2[[#This Row],[Quantity]]*Table2[[#This Row],[Unit Price]]*VLOOKUP(#REF!,Table_1[#All],2,FALSE),0)</f>
        <v>#REF!</v>
      </c>
      <c r="K428" s="7">
        <f>Table2[[#This Row],[Quantity]]*Table2[[#This Row],[Unit Price]]</f>
        <v>7695</v>
      </c>
      <c r="L428" s="7" t="e">
        <f>Table2[[#This Row],[Sales Revenue]]-Table2[[#This Row],[Total Cost After Product Percentage Calc]]</f>
        <v>#REF!</v>
      </c>
    </row>
    <row r="429" spans="1:12" ht="14.25" customHeight="1" x14ac:dyDescent="0.3">
      <c r="A429" s="1">
        <v>1</v>
      </c>
      <c r="B429" s="1">
        <v>320</v>
      </c>
      <c r="C429" s="1" t="s">
        <v>20</v>
      </c>
      <c r="D429" s="1" t="s">
        <v>11</v>
      </c>
      <c r="E429" s="1" t="s">
        <v>12</v>
      </c>
      <c r="F429" t="e">
        <f>TEXT(#REF!,"YYY")</f>
        <v>#REF!</v>
      </c>
      <c r="G429" t="e">
        <f>TEXT(#REF!,"MMM")</f>
        <v>#REF!</v>
      </c>
      <c r="H429" t="e">
        <f>TEXT(#REF!,"DDD")</f>
        <v>#REF!</v>
      </c>
      <c r="I429" t="e">
        <f>DATEDIF(#REF!,#REF!,"D")</f>
        <v>#REF!</v>
      </c>
      <c r="J429" s="7" t="e">
        <f>ROUND(Table2[[#This Row],[Quantity]]*Table2[[#This Row],[Unit Price]]*VLOOKUP(#REF!,Table_1[#All],2,FALSE),0)</f>
        <v>#REF!</v>
      </c>
      <c r="K429" s="7">
        <f>Table2[[#This Row],[Quantity]]*Table2[[#This Row],[Unit Price]]</f>
        <v>320</v>
      </c>
      <c r="L429" s="7" t="e">
        <f>Table2[[#This Row],[Sales Revenue]]-Table2[[#This Row],[Total Cost After Product Percentage Calc]]</f>
        <v>#REF!</v>
      </c>
    </row>
    <row r="430" spans="1:12" ht="14.25" customHeight="1" x14ac:dyDescent="0.3">
      <c r="A430" s="1">
        <v>10</v>
      </c>
      <c r="B430" s="1">
        <v>308</v>
      </c>
      <c r="C430" s="1" t="s">
        <v>20</v>
      </c>
      <c r="D430" s="1" t="s">
        <v>11</v>
      </c>
      <c r="E430" s="1" t="s">
        <v>30</v>
      </c>
      <c r="F430" t="e">
        <f>TEXT(#REF!,"YYY")</f>
        <v>#REF!</v>
      </c>
      <c r="G430" t="e">
        <f>TEXT(#REF!,"MMM")</f>
        <v>#REF!</v>
      </c>
      <c r="H430" t="e">
        <f>TEXT(#REF!,"DDD")</f>
        <v>#REF!</v>
      </c>
      <c r="I430" t="e">
        <f>DATEDIF(#REF!,#REF!,"D")</f>
        <v>#REF!</v>
      </c>
      <c r="J430" s="7" t="e">
        <f>ROUND(Table2[[#This Row],[Quantity]]*Table2[[#This Row],[Unit Price]]*VLOOKUP(#REF!,Table_1[#All],2,FALSE),0)</f>
        <v>#REF!</v>
      </c>
      <c r="K430" s="7">
        <f>Table2[[#This Row],[Quantity]]*Table2[[#This Row],[Unit Price]]</f>
        <v>3080</v>
      </c>
      <c r="L430" s="7" t="e">
        <f>Table2[[#This Row],[Sales Revenue]]-Table2[[#This Row],[Total Cost After Product Percentage Calc]]</f>
        <v>#REF!</v>
      </c>
    </row>
    <row r="431" spans="1:12" ht="14.25" customHeight="1" x14ac:dyDescent="0.3">
      <c r="A431" s="1">
        <v>8</v>
      </c>
      <c r="B431" s="1">
        <v>259</v>
      </c>
      <c r="C431" s="1" t="s">
        <v>20</v>
      </c>
      <c r="D431" s="1" t="s">
        <v>16</v>
      </c>
      <c r="E431" s="1" t="s">
        <v>22</v>
      </c>
      <c r="F431" t="e">
        <f>TEXT(#REF!,"YYY")</f>
        <v>#REF!</v>
      </c>
      <c r="G431" t="e">
        <f>TEXT(#REF!,"MMM")</f>
        <v>#REF!</v>
      </c>
      <c r="H431" t="e">
        <f>TEXT(#REF!,"DDD")</f>
        <v>#REF!</v>
      </c>
      <c r="I431" t="e">
        <f>DATEDIF(#REF!,#REF!,"D")</f>
        <v>#REF!</v>
      </c>
      <c r="J431" s="7" t="e">
        <f>ROUND(Table2[[#This Row],[Quantity]]*Table2[[#This Row],[Unit Price]]*VLOOKUP(#REF!,Table_1[#All],2,FALSE),0)</f>
        <v>#REF!</v>
      </c>
      <c r="K431" s="7">
        <f>Table2[[#This Row],[Quantity]]*Table2[[#This Row],[Unit Price]]</f>
        <v>2072</v>
      </c>
      <c r="L431" s="7" t="e">
        <f>Table2[[#This Row],[Sales Revenue]]-Table2[[#This Row],[Total Cost After Product Percentage Calc]]</f>
        <v>#REF!</v>
      </c>
    </row>
    <row r="432" spans="1:12" ht="14.25" customHeight="1" x14ac:dyDescent="0.3">
      <c r="A432" s="1">
        <v>8</v>
      </c>
      <c r="B432" s="1">
        <v>684</v>
      </c>
      <c r="C432" s="1" t="s">
        <v>10</v>
      </c>
      <c r="D432" s="1" t="s">
        <v>16</v>
      </c>
      <c r="E432" s="1" t="s">
        <v>22</v>
      </c>
      <c r="F432" t="e">
        <f>TEXT(#REF!,"YYY")</f>
        <v>#REF!</v>
      </c>
      <c r="G432" t="e">
        <f>TEXT(#REF!,"MMM")</f>
        <v>#REF!</v>
      </c>
      <c r="H432" t="e">
        <f>TEXT(#REF!,"DDD")</f>
        <v>#REF!</v>
      </c>
      <c r="I432" t="e">
        <f>DATEDIF(#REF!,#REF!,"D")</f>
        <v>#REF!</v>
      </c>
      <c r="J432" s="7" t="e">
        <f>ROUND(Table2[[#This Row],[Quantity]]*Table2[[#This Row],[Unit Price]]*VLOOKUP(#REF!,Table_1[#All],2,FALSE),0)</f>
        <v>#REF!</v>
      </c>
      <c r="K432" s="7">
        <f>Table2[[#This Row],[Quantity]]*Table2[[#This Row],[Unit Price]]</f>
        <v>5472</v>
      </c>
      <c r="L432" s="7" t="e">
        <f>Table2[[#This Row],[Sales Revenue]]-Table2[[#This Row],[Total Cost After Product Percentage Calc]]</f>
        <v>#REF!</v>
      </c>
    </row>
    <row r="433" spans="1:12" ht="14.25" customHeight="1" x14ac:dyDescent="0.3">
      <c r="A433" s="1">
        <v>6</v>
      </c>
      <c r="B433" s="1">
        <v>993</v>
      </c>
      <c r="C433" s="1" t="s">
        <v>20</v>
      </c>
      <c r="D433" s="1" t="s">
        <v>31</v>
      </c>
      <c r="E433" s="1" t="s">
        <v>12</v>
      </c>
      <c r="F433" t="e">
        <f>TEXT(#REF!,"YYY")</f>
        <v>#REF!</v>
      </c>
      <c r="G433" t="e">
        <f>TEXT(#REF!,"MMM")</f>
        <v>#REF!</v>
      </c>
      <c r="H433" t="e">
        <f>TEXT(#REF!,"DDD")</f>
        <v>#REF!</v>
      </c>
      <c r="I433" t="e">
        <f>DATEDIF(#REF!,#REF!,"D")</f>
        <v>#REF!</v>
      </c>
      <c r="J433" s="7" t="e">
        <f>ROUND(Table2[[#This Row],[Quantity]]*Table2[[#This Row],[Unit Price]]*VLOOKUP(#REF!,Table_1[#All],2,FALSE),0)</f>
        <v>#REF!</v>
      </c>
      <c r="K433" s="7">
        <f>Table2[[#This Row],[Quantity]]*Table2[[#This Row],[Unit Price]]</f>
        <v>5958</v>
      </c>
      <c r="L433" s="7" t="e">
        <f>Table2[[#This Row],[Sales Revenue]]-Table2[[#This Row],[Total Cost After Product Percentage Calc]]</f>
        <v>#REF!</v>
      </c>
    </row>
    <row r="434" spans="1:12" ht="14.25" customHeight="1" x14ac:dyDescent="0.3">
      <c r="A434" s="1">
        <v>1</v>
      </c>
      <c r="B434" s="1">
        <v>773</v>
      </c>
      <c r="C434" s="1" t="s">
        <v>20</v>
      </c>
      <c r="D434" s="1" t="s">
        <v>24</v>
      </c>
      <c r="E434" s="1" t="s">
        <v>12</v>
      </c>
      <c r="F434" t="e">
        <f>TEXT(#REF!,"YYY")</f>
        <v>#REF!</v>
      </c>
      <c r="G434" t="e">
        <f>TEXT(#REF!,"MMM")</f>
        <v>#REF!</v>
      </c>
      <c r="H434" t="e">
        <f>TEXT(#REF!,"DDD")</f>
        <v>#REF!</v>
      </c>
      <c r="I434" t="e">
        <f>DATEDIF(#REF!,#REF!,"D")</f>
        <v>#REF!</v>
      </c>
      <c r="J434" s="7" t="e">
        <f>ROUND(Table2[[#This Row],[Quantity]]*Table2[[#This Row],[Unit Price]]*VLOOKUP(#REF!,Table_1[#All],2,FALSE),0)</f>
        <v>#REF!</v>
      </c>
      <c r="K434" s="7">
        <f>Table2[[#This Row],[Quantity]]*Table2[[#This Row],[Unit Price]]</f>
        <v>773</v>
      </c>
      <c r="L434" s="7" t="e">
        <f>Table2[[#This Row],[Sales Revenue]]-Table2[[#This Row],[Total Cost After Product Percentage Calc]]</f>
        <v>#REF!</v>
      </c>
    </row>
    <row r="435" spans="1:12" ht="14.25" customHeight="1" x14ac:dyDescent="0.3">
      <c r="A435" s="1">
        <v>8</v>
      </c>
      <c r="B435" s="1">
        <v>527</v>
      </c>
      <c r="C435" s="1" t="s">
        <v>20</v>
      </c>
      <c r="D435" s="1" t="s">
        <v>11</v>
      </c>
      <c r="E435" s="1" t="s">
        <v>30</v>
      </c>
      <c r="F435" t="e">
        <f>TEXT(#REF!,"YYY")</f>
        <v>#REF!</v>
      </c>
      <c r="G435" t="e">
        <f>TEXT(#REF!,"MMM")</f>
        <v>#REF!</v>
      </c>
      <c r="H435" t="e">
        <f>TEXT(#REF!,"DDD")</f>
        <v>#REF!</v>
      </c>
      <c r="I435" t="e">
        <f>DATEDIF(#REF!,#REF!,"D")</f>
        <v>#REF!</v>
      </c>
      <c r="J435" s="7" t="e">
        <f>ROUND(Table2[[#This Row],[Quantity]]*Table2[[#This Row],[Unit Price]]*VLOOKUP(#REF!,Table_1[#All],2,FALSE),0)</f>
        <v>#REF!</v>
      </c>
      <c r="K435" s="7">
        <f>Table2[[#This Row],[Quantity]]*Table2[[#This Row],[Unit Price]]</f>
        <v>4216</v>
      </c>
      <c r="L435" s="7" t="e">
        <f>Table2[[#This Row],[Sales Revenue]]-Table2[[#This Row],[Total Cost After Product Percentage Calc]]</f>
        <v>#REF!</v>
      </c>
    </row>
    <row r="436" spans="1:12" ht="14.25" customHeight="1" x14ac:dyDescent="0.3">
      <c r="A436" s="1">
        <v>10</v>
      </c>
      <c r="B436" s="1">
        <v>752</v>
      </c>
      <c r="C436" s="1" t="s">
        <v>10</v>
      </c>
      <c r="D436" s="1" t="s">
        <v>11</v>
      </c>
      <c r="E436" s="1" t="s">
        <v>12</v>
      </c>
      <c r="F436" t="e">
        <f>TEXT(#REF!,"YYY")</f>
        <v>#REF!</v>
      </c>
      <c r="G436" t="e">
        <f>TEXT(#REF!,"MMM")</f>
        <v>#REF!</v>
      </c>
      <c r="H436" t="e">
        <f>TEXT(#REF!,"DDD")</f>
        <v>#REF!</v>
      </c>
      <c r="I436" t="e">
        <f>DATEDIF(#REF!,#REF!,"D")</f>
        <v>#REF!</v>
      </c>
      <c r="J436" s="7" t="e">
        <f>ROUND(Table2[[#This Row],[Quantity]]*Table2[[#This Row],[Unit Price]]*VLOOKUP(#REF!,Table_1[#All],2,FALSE),0)</f>
        <v>#REF!</v>
      </c>
      <c r="K436" s="7">
        <f>Table2[[#This Row],[Quantity]]*Table2[[#This Row],[Unit Price]]</f>
        <v>7520</v>
      </c>
      <c r="L436" s="7" t="e">
        <f>Table2[[#This Row],[Sales Revenue]]-Table2[[#This Row],[Total Cost After Product Percentage Calc]]</f>
        <v>#REF!</v>
      </c>
    </row>
    <row r="437" spans="1:12" ht="14.25" customHeight="1" x14ac:dyDescent="0.3">
      <c r="A437" s="1">
        <v>1</v>
      </c>
      <c r="B437" s="1">
        <v>821</v>
      </c>
      <c r="C437" s="1" t="s">
        <v>10</v>
      </c>
      <c r="D437" s="1" t="s">
        <v>16</v>
      </c>
      <c r="E437" s="1" t="s">
        <v>12</v>
      </c>
      <c r="F437" t="e">
        <f>TEXT(#REF!,"YYY")</f>
        <v>#REF!</v>
      </c>
      <c r="G437" t="e">
        <f>TEXT(#REF!,"MMM")</f>
        <v>#REF!</v>
      </c>
      <c r="H437" t="e">
        <f>TEXT(#REF!,"DDD")</f>
        <v>#REF!</v>
      </c>
      <c r="I437" t="e">
        <f>DATEDIF(#REF!,#REF!,"D")</f>
        <v>#REF!</v>
      </c>
      <c r="J437" s="7" t="e">
        <f>ROUND(Table2[[#This Row],[Quantity]]*Table2[[#This Row],[Unit Price]]*VLOOKUP(#REF!,Table_1[#All],2,FALSE),0)</f>
        <v>#REF!</v>
      </c>
      <c r="K437" s="7">
        <f>Table2[[#This Row],[Quantity]]*Table2[[#This Row],[Unit Price]]</f>
        <v>821</v>
      </c>
      <c r="L437" s="7" t="e">
        <f>Table2[[#This Row],[Sales Revenue]]-Table2[[#This Row],[Total Cost After Product Percentage Calc]]</f>
        <v>#REF!</v>
      </c>
    </row>
    <row r="438" spans="1:12" ht="14.25" customHeight="1" x14ac:dyDescent="0.3">
      <c r="A438" s="1">
        <v>9</v>
      </c>
      <c r="B438" s="1">
        <v>733</v>
      </c>
      <c r="C438" s="1" t="s">
        <v>20</v>
      </c>
      <c r="D438" s="1" t="s">
        <v>21</v>
      </c>
      <c r="E438" s="1" t="s">
        <v>22</v>
      </c>
      <c r="F438" t="e">
        <f>TEXT(#REF!,"YYY")</f>
        <v>#REF!</v>
      </c>
      <c r="G438" t="e">
        <f>TEXT(#REF!,"MMM")</f>
        <v>#REF!</v>
      </c>
      <c r="H438" t="e">
        <f>TEXT(#REF!,"DDD")</f>
        <v>#REF!</v>
      </c>
      <c r="I438" t="e">
        <f>DATEDIF(#REF!,#REF!,"D")</f>
        <v>#REF!</v>
      </c>
      <c r="J438" s="7" t="e">
        <f>ROUND(Table2[[#This Row],[Quantity]]*Table2[[#This Row],[Unit Price]]*VLOOKUP(#REF!,Table_1[#All],2,FALSE),0)</f>
        <v>#REF!</v>
      </c>
      <c r="K438" s="7">
        <f>Table2[[#This Row],[Quantity]]*Table2[[#This Row],[Unit Price]]</f>
        <v>6597</v>
      </c>
      <c r="L438" s="7" t="e">
        <f>Table2[[#This Row],[Sales Revenue]]-Table2[[#This Row],[Total Cost After Product Percentage Calc]]</f>
        <v>#REF!</v>
      </c>
    </row>
    <row r="439" spans="1:12" ht="14.25" customHeight="1" x14ac:dyDescent="0.3">
      <c r="A439" s="1">
        <v>7</v>
      </c>
      <c r="B439" s="1">
        <v>471</v>
      </c>
      <c r="C439" s="1" t="s">
        <v>20</v>
      </c>
      <c r="D439" s="1" t="s">
        <v>11</v>
      </c>
      <c r="E439" s="1" t="s">
        <v>30</v>
      </c>
      <c r="F439" t="e">
        <f>TEXT(#REF!,"YYY")</f>
        <v>#REF!</v>
      </c>
      <c r="G439" t="e">
        <f>TEXT(#REF!,"MMM")</f>
        <v>#REF!</v>
      </c>
      <c r="H439" t="e">
        <f>TEXT(#REF!,"DDD")</f>
        <v>#REF!</v>
      </c>
      <c r="I439" t="e">
        <f>DATEDIF(#REF!,#REF!,"D")</f>
        <v>#REF!</v>
      </c>
      <c r="J439" s="7" t="e">
        <f>ROUND(Table2[[#This Row],[Quantity]]*Table2[[#This Row],[Unit Price]]*VLOOKUP(#REF!,Table_1[#All],2,FALSE),0)</f>
        <v>#REF!</v>
      </c>
      <c r="K439" s="7">
        <f>Table2[[#This Row],[Quantity]]*Table2[[#This Row],[Unit Price]]</f>
        <v>3297</v>
      </c>
      <c r="L439" s="7" t="e">
        <f>Table2[[#This Row],[Sales Revenue]]-Table2[[#This Row],[Total Cost After Product Percentage Calc]]</f>
        <v>#REF!</v>
      </c>
    </row>
    <row r="440" spans="1:12" ht="14.25" customHeight="1" x14ac:dyDescent="0.3">
      <c r="A440" s="1">
        <v>2</v>
      </c>
      <c r="B440" s="1">
        <v>566</v>
      </c>
      <c r="C440" s="1" t="s">
        <v>20</v>
      </c>
      <c r="D440" s="1" t="s">
        <v>21</v>
      </c>
      <c r="E440" s="1" t="s">
        <v>14</v>
      </c>
      <c r="F440" t="e">
        <f>TEXT(#REF!,"YYY")</f>
        <v>#REF!</v>
      </c>
      <c r="G440" t="e">
        <f>TEXT(#REF!,"MMM")</f>
        <v>#REF!</v>
      </c>
      <c r="H440" t="e">
        <f>TEXT(#REF!,"DDD")</f>
        <v>#REF!</v>
      </c>
      <c r="I440" t="e">
        <f>DATEDIF(#REF!,#REF!,"D")</f>
        <v>#REF!</v>
      </c>
      <c r="J440" s="7" t="e">
        <f>ROUND(Table2[[#This Row],[Quantity]]*Table2[[#This Row],[Unit Price]]*VLOOKUP(#REF!,Table_1[#All],2,FALSE),0)</f>
        <v>#REF!</v>
      </c>
      <c r="K440" s="7">
        <f>Table2[[#This Row],[Quantity]]*Table2[[#This Row],[Unit Price]]</f>
        <v>1132</v>
      </c>
      <c r="L440" s="7" t="e">
        <f>Table2[[#This Row],[Sales Revenue]]-Table2[[#This Row],[Total Cost After Product Percentage Calc]]</f>
        <v>#REF!</v>
      </c>
    </row>
    <row r="441" spans="1:12" ht="14.25" customHeight="1" x14ac:dyDescent="0.3">
      <c r="A441" s="1">
        <v>1</v>
      </c>
      <c r="B441" s="1">
        <v>284</v>
      </c>
      <c r="C441" s="1" t="s">
        <v>10</v>
      </c>
      <c r="D441" s="1" t="s">
        <v>21</v>
      </c>
      <c r="E441" s="1" t="s">
        <v>30</v>
      </c>
      <c r="F441" t="e">
        <f>TEXT(#REF!,"YYY")</f>
        <v>#REF!</v>
      </c>
      <c r="G441" t="e">
        <f>TEXT(#REF!,"MMM")</f>
        <v>#REF!</v>
      </c>
      <c r="H441" t="e">
        <f>TEXT(#REF!,"DDD")</f>
        <v>#REF!</v>
      </c>
      <c r="I441" t="e">
        <f>DATEDIF(#REF!,#REF!,"D")</f>
        <v>#REF!</v>
      </c>
      <c r="J441" s="7" t="e">
        <f>ROUND(Table2[[#This Row],[Quantity]]*Table2[[#This Row],[Unit Price]]*VLOOKUP(#REF!,Table_1[#All],2,FALSE),0)</f>
        <v>#REF!</v>
      </c>
      <c r="K441" s="7">
        <f>Table2[[#This Row],[Quantity]]*Table2[[#This Row],[Unit Price]]</f>
        <v>284</v>
      </c>
      <c r="L441" s="7" t="e">
        <f>Table2[[#This Row],[Sales Revenue]]-Table2[[#This Row],[Total Cost After Product Percentage Calc]]</f>
        <v>#REF!</v>
      </c>
    </row>
    <row r="442" spans="1:12" ht="14.25" customHeight="1" x14ac:dyDescent="0.3">
      <c r="A442" s="1">
        <v>8</v>
      </c>
      <c r="B442" s="1">
        <v>48</v>
      </c>
      <c r="C442" s="1" t="s">
        <v>10</v>
      </c>
      <c r="D442" s="1" t="s">
        <v>24</v>
      </c>
      <c r="E442" s="1" t="s">
        <v>30</v>
      </c>
      <c r="F442" t="e">
        <f>TEXT(#REF!,"YYY")</f>
        <v>#REF!</v>
      </c>
      <c r="G442" t="e">
        <f>TEXT(#REF!,"MMM")</f>
        <v>#REF!</v>
      </c>
      <c r="H442" t="e">
        <f>TEXT(#REF!,"DDD")</f>
        <v>#REF!</v>
      </c>
      <c r="I442" t="e">
        <f>DATEDIF(#REF!,#REF!,"D")</f>
        <v>#REF!</v>
      </c>
      <c r="J442" s="7" t="e">
        <f>ROUND(Table2[[#This Row],[Quantity]]*Table2[[#This Row],[Unit Price]]*VLOOKUP(#REF!,Table_1[#All],2,FALSE),0)</f>
        <v>#REF!</v>
      </c>
      <c r="K442" s="7">
        <f>Table2[[#This Row],[Quantity]]*Table2[[#This Row],[Unit Price]]</f>
        <v>384</v>
      </c>
      <c r="L442" s="7" t="e">
        <f>Table2[[#This Row],[Sales Revenue]]-Table2[[#This Row],[Total Cost After Product Percentage Calc]]</f>
        <v>#REF!</v>
      </c>
    </row>
    <row r="443" spans="1:12" ht="14.25" customHeight="1" x14ac:dyDescent="0.3">
      <c r="A443" s="1">
        <v>3</v>
      </c>
      <c r="B443" s="1">
        <v>262</v>
      </c>
      <c r="C443" s="1" t="s">
        <v>20</v>
      </c>
      <c r="D443" s="1" t="s">
        <v>24</v>
      </c>
      <c r="E443" s="1" t="s">
        <v>22</v>
      </c>
      <c r="F443" t="e">
        <f>TEXT(#REF!,"YYY")</f>
        <v>#REF!</v>
      </c>
      <c r="G443" t="e">
        <f>TEXT(#REF!,"MMM")</f>
        <v>#REF!</v>
      </c>
      <c r="H443" t="e">
        <f>TEXT(#REF!,"DDD")</f>
        <v>#REF!</v>
      </c>
      <c r="I443" t="e">
        <f>DATEDIF(#REF!,#REF!,"D")</f>
        <v>#REF!</v>
      </c>
      <c r="J443" s="7" t="e">
        <f>ROUND(Table2[[#This Row],[Quantity]]*Table2[[#This Row],[Unit Price]]*VLOOKUP(#REF!,Table_1[#All],2,FALSE),0)</f>
        <v>#REF!</v>
      </c>
      <c r="K443" s="7">
        <f>Table2[[#This Row],[Quantity]]*Table2[[#This Row],[Unit Price]]</f>
        <v>786</v>
      </c>
      <c r="L443" s="7" t="e">
        <f>Table2[[#This Row],[Sales Revenue]]-Table2[[#This Row],[Total Cost After Product Percentage Calc]]</f>
        <v>#REF!</v>
      </c>
    </row>
    <row r="444" spans="1:12" ht="14.25" customHeight="1" x14ac:dyDescent="0.3">
      <c r="A444" s="1">
        <v>8</v>
      </c>
      <c r="B444" s="1">
        <v>733</v>
      </c>
      <c r="C444" s="1" t="s">
        <v>10</v>
      </c>
      <c r="D444" s="1" t="s">
        <v>11</v>
      </c>
      <c r="E444" s="1" t="s">
        <v>30</v>
      </c>
      <c r="F444" t="e">
        <f>TEXT(#REF!,"YYY")</f>
        <v>#REF!</v>
      </c>
      <c r="G444" t="e">
        <f>TEXT(#REF!,"MMM")</f>
        <v>#REF!</v>
      </c>
      <c r="H444" t="e">
        <f>TEXT(#REF!,"DDD")</f>
        <v>#REF!</v>
      </c>
      <c r="I444" t="e">
        <f>DATEDIF(#REF!,#REF!,"D")</f>
        <v>#REF!</v>
      </c>
      <c r="J444" s="7" t="e">
        <f>ROUND(Table2[[#This Row],[Quantity]]*Table2[[#This Row],[Unit Price]]*VLOOKUP(#REF!,Table_1[#All],2,FALSE),0)</f>
        <v>#REF!</v>
      </c>
      <c r="K444" s="7">
        <f>Table2[[#This Row],[Quantity]]*Table2[[#This Row],[Unit Price]]</f>
        <v>5864</v>
      </c>
      <c r="L444" s="7" t="e">
        <f>Table2[[#This Row],[Sales Revenue]]-Table2[[#This Row],[Total Cost After Product Percentage Calc]]</f>
        <v>#REF!</v>
      </c>
    </row>
    <row r="445" spans="1:12" ht="14.25" customHeight="1" x14ac:dyDescent="0.3">
      <c r="A445" s="1">
        <v>8</v>
      </c>
      <c r="B445" s="1">
        <v>258</v>
      </c>
      <c r="C445" s="1" t="s">
        <v>10</v>
      </c>
      <c r="D445" s="1" t="s">
        <v>31</v>
      </c>
      <c r="E445" s="1" t="s">
        <v>12</v>
      </c>
      <c r="F445" t="e">
        <f>TEXT(#REF!,"YYY")</f>
        <v>#REF!</v>
      </c>
      <c r="G445" t="e">
        <f>TEXT(#REF!,"MMM")</f>
        <v>#REF!</v>
      </c>
      <c r="H445" t="e">
        <f>TEXT(#REF!,"DDD")</f>
        <v>#REF!</v>
      </c>
      <c r="I445" t="e">
        <f>DATEDIF(#REF!,#REF!,"D")</f>
        <v>#REF!</v>
      </c>
      <c r="J445" s="7" t="e">
        <f>ROUND(Table2[[#This Row],[Quantity]]*Table2[[#This Row],[Unit Price]]*VLOOKUP(#REF!,Table_1[#All],2,FALSE),0)</f>
        <v>#REF!</v>
      </c>
      <c r="K445" s="7">
        <f>Table2[[#This Row],[Quantity]]*Table2[[#This Row],[Unit Price]]</f>
        <v>2064</v>
      </c>
      <c r="L445" s="7" t="e">
        <f>Table2[[#This Row],[Sales Revenue]]-Table2[[#This Row],[Total Cost After Product Percentage Calc]]</f>
        <v>#REF!</v>
      </c>
    </row>
    <row r="446" spans="1:12" ht="14.25" customHeight="1" x14ac:dyDescent="0.3">
      <c r="A446" s="1">
        <v>10</v>
      </c>
      <c r="B446" s="1">
        <v>405</v>
      </c>
      <c r="C446" s="1" t="s">
        <v>10</v>
      </c>
      <c r="D446" s="1" t="s">
        <v>24</v>
      </c>
      <c r="E446" s="1" t="s">
        <v>30</v>
      </c>
      <c r="F446" t="e">
        <f>TEXT(#REF!,"YYY")</f>
        <v>#REF!</v>
      </c>
      <c r="G446" t="e">
        <f>TEXT(#REF!,"MMM")</f>
        <v>#REF!</v>
      </c>
      <c r="H446" t="e">
        <f>TEXT(#REF!,"DDD")</f>
        <v>#REF!</v>
      </c>
      <c r="I446" t="e">
        <f>DATEDIF(#REF!,#REF!,"D")</f>
        <v>#REF!</v>
      </c>
      <c r="J446" s="7" t="e">
        <f>ROUND(Table2[[#This Row],[Quantity]]*Table2[[#This Row],[Unit Price]]*VLOOKUP(#REF!,Table_1[#All],2,FALSE),0)</f>
        <v>#REF!</v>
      </c>
      <c r="K446" s="7">
        <f>Table2[[#This Row],[Quantity]]*Table2[[#This Row],[Unit Price]]</f>
        <v>4050</v>
      </c>
      <c r="L446" s="7" t="e">
        <f>Table2[[#This Row],[Sales Revenue]]-Table2[[#This Row],[Total Cost After Product Percentage Calc]]</f>
        <v>#REF!</v>
      </c>
    </row>
    <row r="447" spans="1:12" ht="14.25" customHeight="1" x14ac:dyDescent="0.3">
      <c r="A447" s="1">
        <v>6</v>
      </c>
      <c r="B447" s="1">
        <v>252</v>
      </c>
      <c r="C447" s="1" t="s">
        <v>10</v>
      </c>
      <c r="D447" s="1" t="s">
        <v>11</v>
      </c>
      <c r="E447" s="1" t="s">
        <v>12</v>
      </c>
      <c r="F447" t="e">
        <f>TEXT(#REF!,"YYY")</f>
        <v>#REF!</v>
      </c>
      <c r="G447" t="e">
        <f>TEXT(#REF!,"MMM")</f>
        <v>#REF!</v>
      </c>
      <c r="H447" t="e">
        <f>TEXT(#REF!,"DDD")</f>
        <v>#REF!</v>
      </c>
      <c r="I447" t="e">
        <f>DATEDIF(#REF!,#REF!,"D")</f>
        <v>#REF!</v>
      </c>
      <c r="J447" s="7" t="e">
        <f>ROUND(Table2[[#This Row],[Quantity]]*Table2[[#This Row],[Unit Price]]*VLOOKUP(#REF!,Table_1[#All],2,FALSE),0)</f>
        <v>#REF!</v>
      </c>
      <c r="K447" s="7">
        <f>Table2[[#This Row],[Quantity]]*Table2[[#This Row],[Unit Price]]</f>
        <v>1512</v>
      </c>
      <c r="L447" s="7" t="e">
        <f>Table2[[#This Row],[Sales Revenue]]-Table2[[#This Row],[Total Cost After Product Percentage Calc]]</f>
        <v>#REF!</v>
      </c>
    </row>
    <row r="448" spans="1:12" ht="14.25" customHeight="1" x14ac:dyDescent="0.3">
      <c r="A448" s="1">
        <v>10</v>
      </c>
      <c r="B448" s="1">
        <v>85</v>
      </c>
      <c r="C448" s="1" t="s">
        <v>10</v>
      </c>
      <c r="D448" s="1" t="s">
        <v>31</v>
      </c>
      <c r="E448" s="1" t="s">
        <v>22</v>
      </c>
      <c r="F448" t="e">
        <f>TEXT(#REF!,"YYY")</f>
        <v>#REF!</v>
      </c>
      <c r="G448" t="e">
        <f>TEXT(#REF!,"MMM")</f>
        <v>#REF!</v>
      </c>
      <c r="H448" t="e">
        <f>TEXT(#REF!,"DDD")</f>
        <v>#REF!</v>
      </c>
      <c r="I448" t="e">
        <f>DATEDIF(#REF!,#REF!,"D")</f>
        <v>#REF!</v>
      </c>
      <c r="J448" s="7" t="e">
        <f>ROUND(Table2[[#This Row],[Quantity]]*Table2[[#This Row],[Unit Price]]*VLOOKUP(#REF!,Table_1[#All],2,FALSE),0)</f>
        <v>#REF!</v>
      </c>
      <c r="K448" s="7">
        <f>Table2[[#This Row],[Quantity]]*Table2[[#This Row],[Unit Price]]</f>
        <v>850</v>
      </c>
      <c r="L448" s="7" t="e">
        <f>Table2[[#This Row],[Sales Revenue]]-Table2[[#This Row],[Total Cost After Product Percentage Calc]]</f>
        <v>#REF!</v>
      </c>
    </row>
    <row r="449" spans="1:12" ht="14.25" customHeight="1" x14ac:dyDescent="0.3">
      <c r="A449" s="1">
        <v>9</v>
      </c>
      <c r="B449" s="1">
        <v>67</v>
      </c>
      <c r="C449" s="1" t="s">
        <v>10</v>
      </c>
      <c r="D449" s="1" t="s">
        <v>11</v>
      </c>
      <c r="E449" s="1" t="s">
        <v>12</v>
      </c>
      <c r="F449" t="e">
        <f>TEXT(#REF!,"YYY")</f>
        <v>#REF!</v>
      </c>
      <c r="G449" t="e">
        <f>TEXT(#REF!,"MMM")</f>
        <v>#REF!</v>
      </c>
      <c r="H449" t="e">
        <f>TEXT(#REF!,"DDD")</f>
        <v>#REF!</v>
      </c>
      <c r="I449" t="e">
        <f>DATEDIF(#REF!,#REF!,"D")</f>
        <v>#REF!</v>
      </c>
      <c r="J449" s="7" t="e">
        <f>ROUND(Table2[[#This Row],[Quantity]]*Table2[[#This Row],[Unit Price]]*VLOOKUP(#REF!,Table_1[#All],2,FALSE),0)</f>
        <v>#REF!</v>
      </c>
      <c r="K449" s="7">
        <f>Table2[[#This Row],[Quantity]]*Table2[[#This Row],[Unit Price]]</f>
        <v>603</v>
      </c>
      <c r="L449" s="7" t="e">
        <f>Table2[[#This Row],[Sales Revenue]]-Table2[[#This Row],[Total Cost After Product Percentage Calc]]</f>
        <v>#REF!</v>
      </c>
    </row>
    <row r="450" spans="1:12" ht="14.25" customHeight="1" x14ac:dyDescent="0.3">
      <c r="A450" s="1">
        <v>3</v>
      </c>
      <c r="B450" s="1">
        <v>723</v>
      </c>
      <c r="C450" s="1" t="s">
        <v>10</v>
      </c>
      <c r="D450" s="1" t="s">
        <v>11</v>
      </c>
      <c r="E450" s="1" t="s">
        <v>30</v>
      </c>
      <c r="F450" t="e">
        <f>TEXT(#REF!,"YYY")</f>
        <v>#REF!</v>
      </c>
      <c r="G450" t="e">
        <f>TEXT(#REF!,"MMM")</f>
        <v>#REF!</v>
      </c>
      <c r="H450" t="e">
        <f>TEXT(#REF!,"DDD")</f>
        <v>#REF!</v>
      </c>
      <c r="I450" t="e">
        <f>DATEDIF(#REF!,#REF!,"D")</f>
        <v>#REF!</v>
      </c>
      <c r="J450" s="7" t="e">
        <f>ROUND(Table2[[#This Row],[Quantity]]*Table2[[#This Row],[Unit Price]]*VLOOKUP(#REF!,Table_1[#All],2,FALSE),0)</f>
        <v>#REF!</v>
      </c>
      <c r="K450" s="7">
        <f>Table2[[#This Row],[Quantity]]*Table2[[#This Row],[Unit Price]]</f>
        <v>2169</v>
      </c>
      <c r="L450" s="7" t="e">
        <f>Table2[[#This Row],[Sales Revenue]]-Table2[[#This Row],[Total Cost After Product Percentage Calc]]</f>
        <v>#REF!</v>
      </c>
    </row>
    <row r="451" spans="1:12" ht="14.25" customHeight="1" x14ac:dyDescent="0.3">
      <c r="A451" s="1">
        <v>2</v>
      </c>
      <c r="B451" s="1">
        <v>919</v>
      </c>
      <c r="C451" s="1" t="s">
        <v>10</v>
      </c>
      <c r="D451" s="1" t="s">
        <v>11</v>
      </c>
      <c r="E451" s="1" t="s">
        <v>14</v>
      </c>
      <c r="F451" t="e">
        <f>TEXT(#REF!,"YYY")</f>
        <v>#REF!</v>
      </c>
      <c r="G451" t="e">
        <f>TEXT(#REF!,"MMM")</f>
        <v>#REF!</v>
      </c>
      <c r="H451" t="e">
        <f>TEXT(#REF!,"DDD")</f>
        <v>#REF!</v>
      </c>
      <c r="I451" t="e">
        <f>DATEDIF(#REF!,#REF!,"D")</f>
        <v>#REF!</v>
      </c>
      <c r="J451" s="7" t="e">
        <f>ROUND(Table2[[#This Row],[Quantity]]*Table2[[#This Row],[Unit Price]]*VLOOKUP(#REF!,Table_1[#All],2,FALSE),0)</f>
        <v>#REF!</v>
      </c>
      <c r="K451" s="7">
        <f>Table2[[#This Row],[Quantity]]*Table2[[#This Row],[Unit Price]]</f>
        <v>1838</v>
      </c>
      <c r="L451" s="7" t="e">
        <f>Table2[[#This Row],[Sales Revenue]]-Table2[[#This Row],[Total Cost After Product Percentage Calc]]</f>
        <v>#REF!</v>
      </c>
    </row>
    <row r="452" spans="1:12" ht="14.25" customHeight="1" x14ac:dyDescent="0.3">
      <c r="A452" s="1">
        <v>2</v>
      </c>
      <c r="B452" s="1">
        <v>315</v>
      </c>
      <c r="C452" s="1" t="s">
        <v>10</v>
      </c>
      <c r="D452" s="1" t="s">
        <v>24</v>
      </c>
      <c r="E452" s="1" t="s">
        <v>30</v>
      </c>
      <c r="F452" t="e">
        <f>TEXT(#REF!,"YYY")</f>
        <v>#REF!</v>
      </c>
      <c r="G452" t="e">
        <f>TEXT(#REF!,"MMM")</f>
        <v>#REF!</v>
      </c>
      <c r="H452" t="e">
        <f>TEXT(#REF!,"DDD")</f>
        <v>#REF!</v>
      </c>
      <c r="I452" t="e">
        <f>DATEDIF(#REF!,#REF!,"D")</f>
        <v>#REF!</v>
      </c>
      <c r="J452" s="7" t="e">
        <f>ROUND(Table2[[#This Row],[Quantity]]*Table2[[#This Row],[Unit Price]]*VLOOKUP(#REF!,Table_1[#All],2,FALSE),0)</f>
        <v>#REF!</v>
      </c>
      <c r="K452" s="7">
        <f>Table2[[#This Row],[Quantity]]*Table2[[#This Row],[Unit Price]]</f>
        <v>630</v>
      </c>
      <c r="L452" s="7" t="e">
        <f>Table2[[#This Row],[Sales Revenue]]-Table2[[#This Row],[Total Cost After Product Percentage Calc]]</f>
        <v>#REF!</v>
      </c>
    </row>
    <row r="453" spans="1:12" ht="14.25" customHeight="1" x14ac:dyDescent="0.3">
      <c r="A453" s="1">
        <v>3</v>
      </c>
      <c r="B453" s="1">
        <v>561</v>
      </c>
      <c r="C453" s="1" t="s">
        <v>10</v>
      </c>
      <c r="D453" s="1" t="s">
        <v>24</v>
      </c>
      <c r="E453" s="1" t="s">
        <v>22</v>
      </c>
      <c r="F453" t="e">
        <f>TEXT(#REF!,"YYY")</f>
        <v>#REF!</v>
      </c>
      <c r="G453" t="e">
        <f>TEXT(#REF!,"MMM")</f>
        <v>#REF!</v>
      </c>
      <c r="H453" t="e">
        <f>TEXT(#REF!,"DDD")</f>
        <v>#REF!</v>
      </c>
      <c r="I453" t="e">
        <f>DATEDIF(#REF!,#REF!,"D")</f>
        <v>#REF!</v>
      </c>
      <c r="J453" s="7" t="e">
        <f>ROUND(Table2[[#This Row],[Quantity]]*Table2[[#This Row],[Unit Price]]*VLOOKUP(#REF!,Table_1[#All],2,FALSE),0)</f>
        <v>#REF!</v>
      </c>
      <c r="K453" s="7">
        <f>Table2[[#This Row],[Quantity]]*Table2[[#This Row],[Unit Price]]</f>
        <v>1683</v>
      </c>
      <c r="L453" s="7" t="e">
        <f>Table2[[#This Row],[Sales Revenue]]-Table2[[#This Row],[Total Cost After Product Percentage Calc]]</f>
        <v>#REF!</v>
      </c>
    </row>
    <row r="454" spans="1:12" ht="14.25" customHeight="1" x14ac:dyDescent="0.3">
      <c r="A454" s="1">
        <v>1</v>
      </c>
      <c r="B454" s="1">
        <v>934</v>
      </c>
      <c r="C454" s="1" t="s">
        <v>10</v>
      </c>
      <c r="D454" s="1" t="s">
        <v>24</v>
      </c>
      <c r="E454" s="1" t="s">
        <v>12</v>
      </c>
      <c r="F454" t="e">
        <f>TEXT(#REF!,"YYY")</f>
        <v>#REF!</v>
      </c>
      <c r="G454" t="e">
        <f>TEXT(#REF!,"MMM")</f>
        <v>#REF!</v>
      </c>
      <c r="H454" t="e">
        <f>TEXT(#REF!,"DDD")</f>
        <v>#REF!</v>
      </c>
      <c r="I454" t="e">
        <f>DATEDIF(#REF!,#REF!,"D")</f>
        <v>#REF!</v>
      </c>
      <c r="J454" s="7" t="e">
        <f>ROUND(Table2[[#This Row],[Quantity]]*Table2[[#This Row],[Unit Price]]*VLOOKUP(#REF!,Table_1[#All],2,FALSE),0)</f>
        <v>#REF!</v>
      </c>
      <c r="K454" s="7">
        <f>Table2[[#This Row],[Quantity]]*Table2[[#This Row],[Unit Price]]</f>
        <v>934</v>
      </c>
      <c r="L454" s="7" t="e">
        <f>Table2[[#This Row],[Sales Revenue]]-Table2[[#This Row],[Total Cost After Product Percentage Calc]]</f>
        <v>#REF!</v>
      </c>
    </row>
    <row r="455" spans="1:12" ht="14.25" customHeight="1" x14ac:dyDescent="0.3">
      <c r="A455" s="1">
        <v>1</v>
      </c>
      <c r="B455" s="1">
        <v>979</v>
      </c>
      <c r="C455" s="1" t="s">
        <v>20</v>
      </c>
      <c r="D455" s="1" t="s">
        <v>11</v>
      </c>
      <c r="E455" s="1" t="s">
        <v>22</v>
      </c>
      <c r="F455" t="e">
        <f>TEXT(#REF!,"YYY")</f>
        <v>#REF!</v>
      </c>
      <c r="G455" t="e">
        <f>TEXT(#REF!,"MMM")</f>
        <v>#REF!</v>
      </c>
      <c r="H455" t="e">
        <f>TEXT(#REF!,"DDD")</f>
        <v>#REF!</v>
      </c>
      <c r="I455" t="e">
        <f>DATEDIF(#REF!,#REF!,"D")</f>
        <v>#REF!</v>
      </c>
      <c r="J455" s="7" t="e">
        <f>ROUND(Table2[[#This Row],[Quantity]]*Table2[[#This Row],[Unit Price]]*VLOOKUP(#REF!,Table_1[#All],2,FALSE),0)</f>
        <v>#REF!</v>
      </c>
      <c r="K455" s="7">
        <f>Table2[[#This Row],[Quantity]]*Table2[[#This Row],[Unit Price]]</f>
        <v>979</v>
      </c>
      <c r="L455" s="7" t="e">
        <f>Table2[[#This Row],[Sales Revenue]]-Table2[[#This Row],[Total Cost After Product Percentage Calc]]</f>
        <v>#REF!</v>
      </c>
    </row>
    <row r="456" spans="1:12" ht="14.25" customHeight="1" x14ac:dyDescent="0.3">
      <c r="A456" s="1">
        <v>1</v>
      </c>
      <c r="B456" s="1">
        <v>805</v>
      </c>
      <c r="C456" s="1" t="s">
        <v>20</v>
      </c>
      <c r="D456" s="1" t="s">
        <v>16</v>
      </c>
      <c r="E456" s="1" t="s">
        <v>22</v>
      </c>
      <c r="F456" t="e">
        <f>TEXT(#REF!,"YYY")</f>
        <v>#REF!</v>
      </c>
      <c r="G456" t="e">
        <f>TEXT(#REF!,"MMM")</f>
        <v>#REF!</v>
      </c>
      <c r="H456" t="e">
        <f>TEXT(#REF!,"DDD")</f>
        <v>#REF!</v>
      </c>
      <c r="I456" t="e">
        <f>DATEDIF(#REF!,#REF!,"D")</f>
        <v>#REF!</v>
      </c>
      <c r="J456" s="7" t="e">
        <f>ROUND(Table2[[#This Row],[Quantity]]*Table2[[#This Row],[Unit Price]]*VLOOKUP(#REF!,Table_1[#All],2,FALSE),0)</f>
        <v>#REF!</v>
      </c>
      <c r="K456" s="7">
        <f>Table2[[#This Row],[Quantity]]*Table2[[#This Row],[Unit Price]]</f>
        <v>805</v>
      </c>
      <c r="L456" s="7" t="e">
        <f>Table2[[#This Row],[Sales Revenue]]-Table2[[#This Row],[Total Cost After Product Percentage Calc]]</f>
        <v>#REF!</v>
      </c>
    </row>
    <row r="457" spans="1:12" ht="14.25" customHeight="1" x14ac:dyDescent="0.3">
      <c r="A457" s="1">
        <v>3</v>
      </c>
      <c r="B457" s="1">
        <v>319</v>
      </c>
      <c r="C457" s="1" t="s">
        <v>10</v>
      </c>
      <c r="D457" s="1" t="s">
        <v>11</v>
      </c>
      <c r="E457" s="1" t="s">
        <v>30</v>
      </c>
      <c r="F457" t="e">
        <f>TEXT(#REF!,"YYY")</f>
        <v>#REF!</v>
      </c>
      <c r="G457" t="e">
        <f>TEXT(#REF!,"MMM")</f>
        <v>#REF!</v>
      </c>
      <c r="H457" t="e">
        <f>TEXT(#REF!,"DDD")</f>
        <v>#REF!</v>
      </c>
      <c r="I457" t="e">
        <f>DATEDIF(#REF!,#REF!,"D")</f>
        <v>#REF!</v>
      </c>
      <c r="J457" s="7" t="e">
        <f>ROUND(Table2[[#This Row],[Quantity]]*Table2[[#This Row],[Unit Price]]*VLOOKUP(#REF!,Table_1[#All],2,FALSE),0)</f>
        <v>#REF!</v>
      </c>
      <c r="K457" s="7">
        <f>Table2[[#This Row],[Quantity]]*Table2[[#This Row],[Unit Price]]</f>
        <v>957</v>
      </c>
      <c r="L457" s="7" t="e">
        <f>Table2[[#This Row],[Sales Revenue]]-Table2[[#This Row],[Total Cost After Product Percentage Calc]]</f>
        <v>#REF!</v>
      </c>
    </row>
    <row r="458" spans="1:12" ht="14.25" customHeight="1" x14ac:dyDescent="0.3">
      <c r="A458" s="1">
        <v>4</v>
      </c>
      <c r="B458" s="1">
        <v>872</v>
      </c>
      <c r="C458" s="1" t="s">
        <v>10</v>
      </c>
      <c r="D458" s="1" t="s">
        <v>21</v>
      </c>
      <c r="E458" s="1" t="s">
        <v>22</v>
      </c>
      <c r="F458" t="e">
        <f>TEXT(#REF!,"YYY")</f>
        <v>#REF!</v>
      </c>
      <c r="G458" t="e">
        <f>TEXT(#REF!,"MMM")</f>
        <v>#REF!</v>
      </c>
      <c r="H458" t="e">
        <f>TEXT(#REF!,"DDD")</f>
        <v>#REF!</v>
      </c>
      <c r="I458" t="e">
        <f>DATEDIF(#REF!,#REF!,"D")</f>
        <v>#REF!</v>
      </c>
      <c r="J458" s="7" t="e">
        <f>ROUND(Table2[[#This Row],[Quantity]]*Table2[[#This Row],[Unit Price]]*VLOOKUP(#REF!,Table_1[#All],2,FALSE),0)</f>
        <v>#REF!</v>
      </c>
      <c r="K458" s="7">
        <f>Table2[[#This Row],[Quantity]]*Table2[[#This Row],[Unit Price]]</f>
        <v>3488</v>
      </c>
      <c r="L458" s="7" t="e">
        <f>Table2[[#This Row],[Sales Revenue]]-Table2[[#This Row],[Total Cost After Product Percentage Calc]]</f>
        <v>#REF!</v>
      </c>
    </row>
    <row r="459" spans="1:12" ht="14.25" customHeight="1" x14ac:dyDescent="0.3">
      <c r="A459" s="1">
        <v>3</v>
      </c>
      <c r="B459" s="1">
        <v>154</v>
      </c>
      <c r="C459" s="1" t="s">
        <v>20</v>
      </c>
      <c r="D459" s="1" t="s">
        <v>21</v>
      </c>
      <c r="E459" s="1" t="s">
        <v>22</v>
      </c>
      <c r="F459" t="e">
        <f>TEXT(#REF!,"YYY")</f>
        <v>#REF!</v>
      </c>
      <c r="G459" t="e">
        <f>TEXT(#REF!,"MMM")</f>
        <v>#REF!</v>
      </c>
      <c r="H459" t="e">
        <f>TEXT(#REF!,"DDD")</f>
        <v>#REF!</v>
      </c>
      <c r="I459" t="e">
        <f>DATEDIF(#REF!,#REF!,"D")</f>
        <v>#REF!</v>
      </c>
      <c r="J459" s="7" t="e">
        <f>ROUND(Table2[[#This Row],[Quantity]]*Table2[[#This Row],[Unit Price]]*VLOOKUP(#REF!,Table_1[#All],2,FALSE),0)</f>
        <v>#REF!</v>
      </c>
      <c r="K459" s="7">
        <f>Table2[[#This Row],[Quantity]]*Table2[[#This Row],[Unit Price]]</f>
        <v>462</v>
      </c>
      <c r="L459" s="7" t="e">
        <f>Table2[[#This Row],[Sales Revenue]]-Table2[[#This Row],[Total Cost After Product Percentage Calc]]</f>
        <v>#REF!</v>
      </c>
    </row>
    <row r="460" spans="1:12" ht="14.25" customHeight="1" x14ac:dyDescent="0.3">
      <c r="A460" s="1">
        <v>10</v>
      </c>
      <c r="B460" s="1">
        <v>674</v>
      </c>
      <c r="C460" s="1" t="s">
        <v>20</v>
      </c>
      <c r="D460" s="1" t="s">
        <v>16</v>
      </c>
      <c r="E460" s="1" t="s">
        <v>14</v>
      </c>
      <c r="F460" t="e">
        <f>TEXT(#REF!,"YYY")</f>
        <v>#REF!</v>
      </c>
      <c r="G460" t="e">
        <f>TEXT(#REF!,"MMM")</f>
        <v>#REF!</v>
      </c>
      <c r="H460" t="e">
        <f>TEXT(#REF!,"DDD")</f>
        <v>#REF!</v>
      </c>
      <c r="I460" t="e">
        <f>DATEDIF(#REF!,#REF!,"D")</f>
        <v>#REF!</v>
      </c>
      <c r="J460" s="7" t="e">
        <f>ROUND(Table2[[#This Row],[Quantity]]*Table2[[#This Row],[Unit Price]]*VLOOKUP(#REF!,Table_1[#All],2,FALSE),0)</f>
        <v>#REF!</v>
      </c>
      <c r="K460" s="7">
        <f>Table2[[#This Row],[Quantity]]*Table2[[#This Row],[Unit Price]]</f>
        <v>6740</v>
      </c>
      <c r="L460" s="7" t="e">
        <f>Table2[[#This Row],[Sales Revenue]]-Table2[[#This Row],[Total Cost After Product Percentage Calc]]</f>
        <v>#REF!</v>
      </c>
    </row>
    <row r="461" spans="1:12" ht="14.25" customHeight="1" x14ac:dyDescent="0.3">
      <c r="A461" s="1">
        <v>8</v>
      </c>
      <c r="B461" s="1">
        <v>203</v>
      </c>
      <c r="C461" s="1" t="s">
        <v>10</v>
      </c>
      <c r="D461" s="1" t="s">
        <v>31</v>
      </c>
      <c r="E461" s="1" t="s">
        <v>14</v>
      </c>
      <c r="F461" t="e">
        <f>TEXT(#REF!,"YYY")</f>
        <v>#REF!</v>
      </c>
      <c r="G461" t="e">
        <f>TEXT(#REF!,"MMM")</f>
        <v>#REF!</v>
      </c>
      <c r="H461" t="e">
        <f>TEXT(#REF!,"DDD")</f>
        <v>#REF!</v>
      </c>
      <c r="I461" t="e">
        <f>DATEDIF(#REF!,#REF!,"D")</f>
        <v>#REF!</v>
      </c>
      <c r="J461" s="7" t="e">
        <f>ROUND(Table2[[#This Row],[Quantity]]*Table2[[#This Row],[Unit Price]]*VLOOKUP(#REF!,Table_1[#All],2,FALSE),0)</f>
        <v>#REF!</v>
      </c>
      <c r="K461" s="7">
        <f>Table2[[#This Row],[Quantity]]*Table2[[#This Row],[Unit Price]]</f>
        <v>1624</v>
      </c>
      <c r="L461" s="7" t="e">
        <f>Table2[[#This Row],[Sales Revenue]]-Table2[[#This Row],[Total Cost After Product Percentage Calc]]</f>
        <v>#REF!</v>
      </c>
    </row>
    <row r="462" spans="1:12" ht="14.25" customHeight="1" x14ac:dyDescent="0.3">
      <c r="A462" s="1">
        <v>5</v>
      </c>
      <c r="B462" s="1">
        <v>608</v>
      </c>
      <c r="C462" s="1" t="s">
        <v>20</v>
      </c>
      <c r="D462" s="1" t="s">
        <v>11</v>
      </c>
      <c r="E462" s="1" t="s">
        <v>30</v>
      </c>
      <c r="F462" t="e">
        <f>TEXT(#REF!,"YYY")</f>
        <v>#REF!</v>
      </c>
      <c r="G462" t="e">
        <f>TEXT(#REF!,"MMM")</f>
        <v>#REF!</v>
      </c>
      <c r="H462" t="e">
        <f>TEXT(#REF!,"DDD")</f>
        <v>#REF!</v>
      </c>
      <c r="I462" t="e">
        <f>DATEDIF(#REF!,#REF!,"D")</f>
        <v>#REF!</v>
      </c>
      <c r="J462" s="7" t="e">
        <f>ROUND(Table2[[#This Row],[Quantity]]*Table2[[#This Row],[Unit Price]]*VLOOKUP(#REF!,Table_1[#All],2,FALSE),0)</f>
        <v>#REF!</v>
      </c>
      <c r="K462" s="7">
        <f>Table2[[#This Row],[Quantity]]*Table2[[#This Row],[Unit Price]]</f>
        <v>3040</v>
      </c>
      <c r="L462" s="7" t="e">
        <f>Table2[[#This Row],[Sales Revenue]]-Table2[[#This Row],[Total Cost After Product Percentage Calc]]</f>
        <v>#REF!</v>
      </c>
    </row>
    <row r="463" spans="1:12" ht="14.25" customHeight="1" x14ac:dyDescent="0.3">
      <c r="A463" s="1">
        <v>5</v>
      </c>
      <c r="B463" s="1">
        <v>664</v>
      </c>
      <c r="C463" s="1" t="s">
        <v>20</v>
      </c>
      <c r="D463" s="1" t="s">
        <v>24</v>
      </c>
      <c r="E463" s="1" t="s">
        <v>14</v>
      </c>
      <c r="F463" t="e">
        <f>TEXT(#REF!,"YYY")</f>
        <v>#REF!</v>
      </c>
      <c r="G463" t="e">
        <f>TEXT(#REF!,"MMM")</f>
        <v>#REF!</v>
      </c>
      <c r="H463" t="e">
        <f>TEXT(#REF!,"DDD")</f>
        <v>#REF!</v>
      </c>
      <c r="I463" t="e">
        <f>DATEDIF(#REF!,#REF!,"D")</f>
        <v>#REF!</v>
      </c>
      <c r="J463" s="7" t="e">
        <f>ROUND(Table2[[#This Row],[Quantity]]*Table2[[#This Row],[Unit Price]]*VLOOKUP(#REF!,Table_1[#All],2,FALSE),0)</f>
        <v>#REF!</v>
      </c>
      <c r="K463" s="7">
        <f>Table2[[#This Row],[Quantity]]*Table2[[#This Row],[Unit Price]]</f>
        <v>3320</v>
      </c>
      <c r="L463" s="7" t="e">
        <f>Table2[[#This Row],[Sales Revenue]]-Table2[[#This Row],[Total Cost After Product Percentage Calc]]</f>
        <v>#REF!</v>
      </c>
    </row>
    <row r="464" spans="1:12" ht="14.25" customHeight="1" x14ac:dyDescent="0.3">
      <c r="A464" s="1">
        <v>9</v>
      </c>
      <c r="B464" s="1">
        <v>164</v>
      </c>
      <c r="C464" s="1" t="s">
        <v>20</v>
      </c>
      <c r="D464" s="1" t="s">
        <v>31</v>
      </c>
      <c r="E464" s="1" t="s">
        <v>12</v>
      </c>
      <c r="F464" t="e">
        <f>TEXT(#REF!,"YYY")</f>
        <v>#REF!</v>
      </c>
      <c r="G464" t="e">
        <f>TEXT(#REF!,"MMM")</f>
        <v>#REF!</v>
      </c>
      <c r="H464" t="e">
        <f>TEXT(#REF!,"DDD")</f>
        <v>#REF!</v>
      </c>
      <c r="I464" t="e">
        <f>DATEDIF(#REF!,#REF!,"D")</f>
        <v>#REF!</v>
      </c>
      <c r="J464" s="7" t="e">
        <f>ROUND(Table2[[#This Row],[Quantity]]*Table2[[#This Row],[Unit Price]]*VLOOKUP(#REF!,Table_1[#All],2,FALSE),0)</f>
        <v>#REF!</v>
      </c>
      <c r="K464" s="7">
        <f>Table2[[#This Row],[Quantity]]*Table2[[#This Row],[Unit Price]]</f>
        <v>1476</v>
      </c>
      <c r="L464" s="7" t="e">
        <f>Table2[[#This Row],[Sales Revenue]]-Table2[[#This Row],[Total Cost After Product Percentage Calc]]</f>
        <v>#REF!</v>
      </c>
    </row>
    <row r="465" spans="1:12" ht="14.25" customHeight="1" x14ac:dyDescent="0.3">
      <c r="A465" s="1">
        <v>4</v>
      </c>
      <c r="B465" s="1">
        <v>200</v>
      </c>
      <c r="C465" s="1" t="s">
        <v>10</v>
      </c>
      <c r="D465" s="1" t="s">
        <v>16</v>
      </c>
      <c r="E465" s="1" t="s">
        <v>30</v>
      </c>
      <c r="F465" t="e">
        <f>TEXT(#REF!,"YYY")</f>
        <v>#REF!</v>
      </c>
      <c r="G465" t="e">
        <f>TEXT(#REF!,"MMM")</f>
        <v>#REF!</v>
      </c>
      <c r="H465" t="e">
        <f>TEXT(#REF!,"DDD")</f>
        <v>#REF!</v>
      </c>
      <c r="I465" t="e">
        <f>DATEDIF(#REF!,#REF!,"D")</f>
        <v>#REF!</v>
      </c>
      <c r="J465" s="7" t="e">
        <f>ROUND(Table2[[#This Row],[Quantity]]*Table2[[#This Row],[Unit Price]]*VLOOKUP(#REF!,Table_1[#All],2,FALSE),0)</f>
        <v>#REF!</v>
      </c>
      <c r="K465" s="7">
        <f>Table2[[#This Row],[Quantity]]*Table2[[#This Row],[Unit Price]]</f>
        <v>800</v>
      </c>
      <c r="L465" s="7" t="e">
        <f>Table2[[#This Row],[Sales Revenue]]-Table2[[#This Row],[Total Cost After Product Percentage Calc]]</f>
        <v>#REF!</v>
      </c>
    </row>
    <row r="466" spans="1:12" ht="14.25" customHeight="1" x14ac:dyDescent="0.3">
      <c r="A466" s="1">
        <v>4</v>
      </c>
      <c r="B466" s="1">
        <v>959</v>
      </c>
      <c r="C466" s="1" t="s">
        <v>10</v>
      </c>
      <c r="D466" s="1" t="s">
        <v>21</v>
      </c>
      <c r="E466" s="1" t="s">
        <v>22</v>
      </c>
      <c r="F466" t="e">
        <f>TEXT(#REF!,"YYY")</f>
        <v>#REF!</v>
      </c>
      <c r="G466" t="e">
        <f>TEXT(#REF!,"MMM")</f>
        <v>#REF!</v>
      </c>
      <c r="H466" t="e">
        <f>TEXT(#REF!,"DDD")</f>
        <v>#REF!</v>
      </c>
      <c r="I466" t="e">
        <f>DATEDIF(#REF!,#REF!,"D")</f>
        <v>#REF!</v>
      </c>
      <c r="J466" s="7" t="e">
        <f>ROUND(Table2[[#This Row],[Quantity]]*Table2[[#This Row],[Unit Price]]*VLOOKUP(#REF!,Table_1[#All],2,FALSE),0)</f>
        <v>#REF!</v>
      </c>
      <c r="K466" s="7">
        <f>Table2[[#This Row],[Quantity]]*Table2[[#This Row],[Unit Price]]</f>
        <v>3836</v>
      </c>
      <c r="L466" s="7" t="e">
        <f>Table2[[#This Row],[Sales Revenue]]-Table2[[#This Row],[Total Cost After Product Percentage Calc]]</f>
        <v>#REF!</v>
      </c>
    </row>
    <row r="467" spans="1:12" ht="14.25" customHeight="1" x14ac:dyDescent="0.3">
      <c r="A467" s="1">
        <v>3</v>
      </c>
      <c r="B467" s="1">
        <v>960</v>
      </c>
      <c r="C467" s="1" t="s">
        <v>10</v>
      </c>
      <c r="D467" s="1" t="s">
        <v>31</v>
      </c>
      <c r="E467" s="1" t="s">
        <v>30</v>
      </c>
      <c r="F467" t="e">
        <f>TEXT(#REF!,"YYY")</f>
        <v>#REF!</v>
      </c>
      <c r="G467" t="e">
        <f>TEXT(#REF!,"MMM")</f>
        <v>#REF!</v>
      </c>
      <c r="H467" t="e">
        <f>TEXT(#REF!,"DDD")</f>
        <v>#REF!</v>
      </c>
      <c r="I467" t="e">
        <f>DATEDIF(#REF!,#REF!,"D")</f>
        <v>#REF!</v>
      </c>
      <c r="J467" s="7" t="e">
        <f>ROUND(Table2[[#This Row],[Quantity]]*Table2[[#This Row],[Unit Price]]*VLOOKUP(#REF!,Table_1[#All],2,FALSE),0)</f>
        <v>#REF!</v>
      </c>
      <c r="K467" s="7">
        <f>Table2[[#This Row],[Quantity]]*Table2[[#This Row],[Unit Price]]</f>
        <v>2880</v>
      </c>
      <c r="L467" s="7" t="e">
        <f>Table2[[#This Row],[Sales Revenue]]-Table2[[#This Row],[Total Cost After Product Percentage Calc]]</f>
        <v>#REF!</v>
      </c>
    </row>
    <row r="468" spans="1:12" ht="14.25" customHeight="1" x14ac:dyDescent="0.3">
      <c r="A468" s="1">
        <v>1</v>
      </c>
      <c r="B468" s="1">
        <v>269</v>
      </c>
      <c r="C468" s="1" t="s">
        <v>10</v>
      </c>
      <c r="D468" s="1" t="s">
        <v>21</v>
      </c>
      <c r="E468" s="1" t="s">
        <v>12</v>
      </c>
      <c r="F468" t="e">
        <f>TEXT(#REF!,"YYY")</f>
        <v>#REF!</v>
      </c>
      <c r="G468" t="e">
        <f>TEXT(#REF!,"MMM")</f>
        <v>#REF!</v>
      </c>
      <c r="H468" t="e">
        <f>TEXT(#REF!,"DDD")</f>
        <v>#REF!</v>
      </c>
      <c r="I468" t="e">
        <f>DATEDIF(#REF!,#REF!,"D")</f>
        <v>#REF!</v>
      </c>
      <c r="J468" s="7" t="e">
        <f>ROUND(Table2[[#This Row],[Quantity]]*Table2[[#This Row],[Unit Price]]*VLOOKUP(#REF!,Table_1[#All],2,FALSE),0)</f>
        <v>#REF!</v>
      </c>
      <c r="K468" s="7">
        <f>Table2[[#This Row],[Quantity]]*Table2[[#This Row],[Unit Price]]</f>
        <v>269</v>
      </c>
      <c r="L468" s="7" t="e">
        <f>Table2[[#This Row],[Sales Revenue]]-Table2[[#This Row],[Total Cost After Product Percentage Calc]]</f>
        <v>#REF!</v>
      </c>
    </row>
    <row r="469" spans="1:12" ht="14.25" customHeight="1" x14ac:dyDescent="0.3">
      <c r="A469" s="1">
        <v>9</v>
      </c>
      <c r="B469" s="1">
        <v>498</v>
      </c>
      <c r="C469" s="1" t="s">
        <v>10</v>
      </c>
      <c r="D469" s="1" t="s">
        <v>11</v>
      </c>
      <c r="E469" s="1" t="s">
        <v>30</v>
      </c>
      <c r="F469" t="e">
        <f>TEXT(#REF!,"YYY")</f>
        <v>#REF!</v>
      </c>
      <c r="G469" t="e">
        <f>TEXT(#REF!,"MMM")</f>
        <v>#REF!</v>
      </c>
      <c r="H469" t="e">
        <f>TEXT(#REF!,"DDD")</f>
        <v>#REF!</v>
      </c>
      <c r="I469" t="e">
        <f>DATEDIF(#REF!,#REF!,"D")</f>
        <v>#REF!</v>
      </c>
      <c r="J469" s="7" t="e">
        <f>ROUND(Table2[[#This Row],[Quantity]]*Table2[[#This Row],[Unit Price]]*VLOOKUP(#REF!,Table_1[#All],2,FALSE),0)</f>
        <v>#REF!</v>
      </c>
      <c r="K469" s="7">
        <f>Table2[[#This Row],[Quantity]]*Table2[[#This Row],[Unit Price]]</f>
        <v>4482</v>
      </c>
      <c r="L469" s="7" t="e">
        <f>Table2[[#This Row],[Sales Revenue]]-Table2[[#This Row],[Total Cost After Product Percentage Calc]]</f>
        <v>#REF!</v>
      </c>
    </row>
    <row r="470" spans="1:12" ht="14.25" customHeight="1" x14ac:dyDescent="0.3">
      <c r="A470" s="1">
        <v>6</v>
      </c>
      <c r="B470" s="1">
        <v>662</v>
      </c>
      <c r="C470" s="1" t="s">
        <v>10</v>
      </c>
      <c r="D470" s="1" t="s">
        <v>21</v>
      </c>
      <c r="E470" s="1" t="s">
        <v>30</v>
      </c>
      <c r="F470" t="e">
        <f>TEXT(#REF!,"YYY")</f>
        <v>#REF!</v>
      </c>
      <c r="G470" t="e">
        <f>TEXT(#REF!,"MMM")</f>
        <v>#REF!</v>
      </c>
      <c r="H470" t="e">
        <f>TEXT(#REF!,"DDD")</f>
        <v>#REF!</v>
      </c>
      <c r="I470" t="e">
        <f>DATEDIF(#REF!,#REF!,"D")</f>
        <v>#REF!</v>
      </c>
      <c r="J470" s="7" t="e">
        <f>ROUND(Table2[[#This Row],[Quantity]]*Table2[[#This Row],[Unit Price]]*VLOOKUP(#REF!,Table_1[#All],2,FALSE),0)</f>
        <v>#REF!</v>
      </c>
      <c r="K470" s="7">
        <f>Table2[[#This Row],[Quantity]]*Table2[[#This Row],[Unit Price]]</f>
        <v>3972</v>
      </c>
      <c r="L470" s="7" t="e">
        <f>Table2[[#This Row],[Sales Revenue]]-Table2[[#This Row],[Total Cost After Product Percentage Calc]]</f>
        <v>#REF!</v>
      </c>
    </row>
    <row r="471" spans="1:12" ht="14.25" customHeight="1" x14ac:dyDescent="0.3">
      <c r="A471" s="1">
        <v>1</v>
      </c>
      <c r="B471" s="1">
        <v>909</v>
      </c>
      <c r="C471" s="1" t="s">
        <v>20</v>
      </c>
      <c r="D471" s="1" t="s">
        <v>24</v>
      </c>
      <c r="E471" s="1" t="s">
        <v>12</v>
      </c>
      <c r="F471" t="e">
        <f>TEXT(#REF!,"YYY")</f>
        <v>#REF!</v>
      </c>
      <c r="G471" t="e">
        <f>TEXT(#REF!,"MMM")</f>
        <v>#REF!</v>
      </c>
      <c r="H471" t="e">
        <f>TEXT(#REF!,"DDD")</f>
        <v>#REF!</v>
      </c>
      <c r="I471" t="e">
        <f>DATEDIF(#REF!,#REF!,"D")</f>
        <v>#REF!</v>
      </c>
      <c r="J471" s="7" t="e">
        <f>ROUND(Table2[[#This Row],[Quantity]]*Table2[[#This Row],[Unit Price]]*VLOOKUP(#REF!,Table_1[#All],2,FALSE),0)</f>
        <v>#REF!</v>
      </c>
      <c r="K471" s="7">
        <f>Table2[[#This Row],[Quantity]]*Table2[[#This Row],[Unit Price]]</f>
        <v>909</v>
      </c>
      <c r="L471" s="7" t="e">
        <f>Table2[[#This Row],[Sales Revenue]]-Table2[[#This Row],[Total Cost After Product Percentage Calc]]</f>
        <v>#REF!</v>
      </c>
    </row>
    <row r="472" spans="1:12" ht="14.25" customHeight="1" x14ac:dyDescent="0.3">
      <c r="A472" s="1">
        <v>8</v>
      </c>
      <c r="B472" s="1">
        <v>189</v>
      </c>
      <c r="C472" s="1" t="s">
        <v>10</v>
      </c>
      <c r="D472" s="1" t="s">
        <v>11</v>
      </c>
      <c r="E472" s="1" t="s">
        <v>22</v>
      </c>
      <c r="F472" t="e">
        <f>TEXT(#REF!,"YYY")</f>
        <v>#REF!</v>
      </c>
      <c r="G472" t="e">
        <f>TEXT(#REF!,"MMM")</f>
        <v>#REF!</v>
      </c>
      <c r="H472" t="e">
        <f>TEXT(#REF!,"DDD")</f>
        <v>#REF!</v>
      </c>
      <c r="I472" t="e">
        <f>DATEDIF(#REF!,#REF!,"D")</f>
        <v>#REF!</v>
      </c>
      <c r="J472" s="7" t="e">
        <f>ROUND(Table2[[#This Row],[Quantity]]*Table2[[#This Row],[Unit Price]]*VLOOKUP(#REF!,Table_1[#All],2,FALSE),0)</f>
        <v>#REF!</v>
      </c>
      <c r="K472" s="7">
        <f>Table2[[#This Row],[Quantity]]*Table2[[#This Row],[Unit Price]]</f>
        <v>1512</v>
      </c>
      <c r="L472" s="7" t="e">
        <f>Table2[[#This Row],[Sales Revenue]]-Table2[[#This Row],[Total Cost After Product Percentage Calc]]</f>
        <v>#REF!</v>
      </c>
    </row>
    <row r="473" spans="1:12" ht="14.25" customHeight="1" x14ac:dyDescent="0.3">
      <c r="A473" s="1">
        <v>4</v>
      </c>
      <c r="B473" s="1">
        <v>689</v>
      </c>
      <c r="C473" s="1" t="s">
        <v>20</v>
      </c>
      <c r="D473" s="1" t="s">
        <v>16</v>
      </c>
      <c r="E473" s="1" t="s">
        <v>14</v>
      </c>
      <c r="F473" t="e">
        <f>TEXT(#REF!,"YYY")</f>
        <v>#REF!</v>
      </c>
      <c r="G473" t="e">
        <f>TEXT(#REF!,"MMM")</f>
        <v>#REF!</v>
      </c>
      <c r="H473" t="e">
        <f>TEXT(#REF!,"DDD")</f>
        <v>#REF!</v>
      </c>
      <c r="I473" t="e">
        <f>DATEDIF(#REF!,#REF!,"D")</f>
        <v>#REF!</v>
      </c>
      <c r="J473" s="7" t="e">
        <f>ROUND(Table2[[#This Row],[Quantity]]*Table2[[#This Row],[Unit Price]]*VLOOKUP(#REF!,Table_1[#All],2,FALSE),0)</f>
        <v>#REF!</v>
      </c>
      <c r="K473" s="7">
        <f>Table2[[#This Row],[Quantity]]*Table2[[#This Row],[Unit Price]]</f>
        <v>2756</v>
      </c>
      <c r="L473" s="7" t="e">
        <f>Table2[[#This Row],[Sales Revenue]]-Table2[[#This Row],[Total Cost After Product Percentage Calc]]</f>
        <v>#REF!</v>
      </c>
    </row>
    <row r="474" spans="1:12" ht="14.25" customHeight="1" x14ac:dyDescent="0.3">
      <c r="A474" s="1">
        <v>9</v>
      </c>
      <c r="B474" s="1">
        <v>485</v>
      </c>
      <c r="C474" s="1" t="s">
        <v>20</v>
      </c>
      <c r="D474" s="1" t="s">
        <v>21</v>
      </c>
      <c r="E474" s="1" t="s">
        <v>22</v>
      </c>
      <c r="F474" t="e">
        <f>TEXT(#REF!,"YYY")</f>
        <v>#REF!</v>
      </c>
      <c r="G474" t="e">
        <f>TEXT(#REF!,"MMM")</f>
        <v>#REF!</v>
      </c>
      <c r="H474" t="e">
        <f>TEXT(#REF!,"DDD")</f>
        <v>#REF!</v>
      </c>
      <c r="I474" t="e">
        <f>DATEDIF(#REF!,#REF!,"D")</f>
        <v>#REF!</v>
      </c>
      <c r="J474" s="7" t="e">
        <f>ROUND(Table2[[#This Row],[Quantity]]*Table2[[#This Row],[Unit Price]]*VLOOKUP(#REF!,Table_1[#All],2,FALSE),0)</f>
        <v>#REF!</v>
      </c>
      <c r="K474" s="7">
        <f>Table2[[#This Row],[Quantity]]*Table2[[#This Row],[Unit Price]]</f>
        <v>4365</v>
      </c>
      <c r="L474" s="7" t="e">
        <f>Table2[[#This Row],[Sales Revenue]]-Table2[[#This Row],[Total Cost After Product Percentage Calc]]</f>
        <v>#REF!</v>
      </c>
    </row>
    <row r="475" spans="1:12" ht="14.25" customHeight="1" x14ac:dyDescent="0.3">
      <c r="A475" s="1">
        <v>2</v>
      </c>
      <c r="B475" s="1">
        <v>31</v>
      </c>
      <c r="C475" s="1" t="s">
        <v>20</v>
      </c>
      <c r="D475" s="1" t="s">
        <v>31</v>
      </c>
      <c r="E475" s="1" t="s">
        <v>12</v>
      </c>
      <c r="F475" t="e">
        <f>TEXT(#REF!,"YYY")</f>
        <v>#REF!</v>
      </c>
      <c r="G475" t="e">
        <f>TEXT(#REF!,"MMM")</f>
        <v>#REF!</v>
      </c>
      <c r="H475" t="e">
        <f>TEXT(#REF!,"DDD")</f>
        <v>#REF!</v>
      </c>
      <c r="I475" t="e">
        <f>DATEDIF(#REF!,#REF!,"D")</f>
        <v>#REF!</v>
      </c>
      <c r="J475" s="7" t="e">
        <f>ROUND(Table2[[#This Row],[Quantity]]*Table2[[#This Row],[Unit Price]]*VLOOKUP(#REF!,Table_1[#All],2,FALSE),0)</f>
        <v>#REF!</v>
      </c>
      <c r="K475" s="7">
        <f>Table2[[#This Row],[Quantity]]*Table2[[#This Row],[Unit Price]]</f>
        <v>62</v>
      </c>
      <c r="L475" s="7" t="e">
        <f>Table2[[#This Row],[Sales Revenue]]-Table2[[#This Row],[Total Cost After Product Percentage Calc]]</f>
        <v>#REF!</v>
      </c>
    </row>
    <row r="476" spans="1:12" ht="14.25" customHeight="1" x14ac:dyDescent="0.3">
      <c r="A476" s="1">
        <v>6</v>
      </c>
      <c r="B476" s="1">
        <v>806</v>
      </c>
      <c r="C476" s="1" t="s">
        <v>10</v>
      </c>
      <c r="D476" s="1" t="s">
        <v>24</v>
      </c>
      <c r="E476" s="1" t="s">
        <v>12</v>
      </c>
      <c r="F476" t="e">
        <f>TEXT(#REF!,"YYY")</f>
        <v>#REF!</v>
      </c>
      <c r="G476" t="e">
        <f>TEXT(#REF!,"MMM")</f>
        <v>#REF!</v>
      </c>
      <c r="H476" t="e">
        <f>TEXT(#REF!,"DDD")</f>
        <v>#REF!</v>
      </c>
      <c r="I476" t="e">
        <f>DATEDIF(#REF!,#REF!,"D")</f>
        <v>#REF!</v>
      </c>
      <c r="J476" s="7" t="e">
        <f>ROUND(Table2[[#This Row],[Quantity]]*Table2[[#This Row],[Unit Price]]*VLOOKUP(#REF!,Table_1[#All],2,FALSE),0)</f>
        <v>#REF!</v>
      </c>
      <c r="K476" s="7">
        <f>Table2[[#This Row],[Quantity]]*Table2[[#This Row],[Unit Price]]</f>
        <v>4836</v>
      </c>
      <c r="L476" s="7" t="e">
        <f>Table2[[#This Row],[Sales Revenue]]-Table2[[#This Row],[Total Cost After Product Percentage Calc]]</f>
        <v>#REF!</v>
      </c>
    </row>
    <row r="477" spans="1:12" ht="14.25" customHeight="1" x14ac:dyDescent="0.3">
      <c r="A477" s="1">
        <v>5</v>
      </c>
      <c r="B477" s="1">
        <v>720</v>
      </c>
      <c r="C477" s="1" t="s">
        <v>10</v>
      </c>
      <c r="D477" s="1" t="s">
        <v>11</v>
      </c>
      <c r="E477" s="1" t="s">
        <v>22</v>
      </c>
      <c r="F477" t="e">
        <f>TEXT(#REF!,"YYY")</f>
        <v>#REF!</v>
      </c>
      <c r="G477" t="e">
        <f>TEXT(#REF!,"MMM")</f>
        <v>#REF!</v>
      </c>
      <c r="H477" t="e">
        <f>TEXT(#REF!,"DDD")</f>
        <v>#REF!</v>
      </c>
      <c r="I477" t="e">
        <f>DATEDIF(#REF!,#REF!,"D")</f>
        <v>#REF!</v>
      </c>
      <c r="J477" s="7" t="e">
        <f>ROUND(Table2[[#This Row],[Quantity]]*Table2[[#This Row],[Unit Price]]*VLOOKUP(#REF!,Table_1[#All],2,FALSE),0)</f>
        <v>#REF!</v>
      </c>
      <c r="K477" s="7">
        <f>Table2[[#This Row],[Quantity]]*Table2[[#This Row],[Unit Price]]</f>
        <v>3600</v>
      </c>
      <c r="L477" s="7" t="e">
        <f>Table2[[#This Row],[Sales Revenue]]-Table2[[#This Row],[Total Cost After Product Percentage Calc]]</f>
        <v>#REF!</v>
      </c>
    </row>
    <row r="478" spans="1:12" ht="14.25" customHeight="1" x14ac:dyDescent="0.3">
      <c r="A478" s="1">
        <v>2</v>
      </c>
      <c r="B478" s="1">
        <v>420</v>
      </c>
      <c r="C478" s="1" t="s">
        <v>10</v>
      </c>
      <c r="D478" s="1" t="s">
        <v>16</v>
      </c>
      <c r="E478" s="1" t="s">
        <v>30</v>
      </c>
      <c r="F478" t="e">
        <f>TEXT(#REF!,"YYY")</f>
        <v>#REF!</v>
      </c>
      <c r="G478" t="e">
        <f>TEXT(#REF!,"MMM")</f>
        <v>#REF!</v>
      </c>
      <c r="H478" t="e">
        <f>TEXT(#REF!,"DDD")</f>
        <v>#REF!</v>
      </c>
      <c r="I478" t="e">
        <f>DATEDIF(#REF!,#REF!,"D")</f>
        <v>#REF!</v>
      </c>
      <c r="J478" s="7" t="e">
        <f>ROUND(Table2[[#This Row],[Quantity]]*Table2[[#This Row],[Unit Price]]*VLOOKUP(#REF!,Table_1[#All],2,FALSE),0)</f>
        <v>#REF!</v>
      </c>
      <c r="K478" s="7">
        <f>Table2[[#This Row],[Quantity]]*Table2[[#This Row],[Unit Price]]</f>
        <v>840</v>
      </c>
      <c r="L478" s="7" t="e">
        <f>Table2[[#This Row],[Sales Revenue]]-Table2[[#This Row],[Total Cost After Product Percentage Calc]]</f>
        <v>#REF!</v>
      </c>
    </row>
    <row r="479" spans="1:12" ht="14.25" customHeight="1" x14ac:dyDescent="0.3">
      <c r="A479" s="1">
        <v>3</v>
      </c>
      <c r="B479" s="1">
        <v>10</v>
      </c>
      <c r="C479" s="1" t="s">
        <v>10</v>
      </c>
      <c r="D479" s="1" t="s">
        <v>24</v>
      </c>
      <c r="E479" s="1" t="s">
        <v>30</v>
      </c>
      <c r="F479" t="e">
        <f>TEXT(#REF!,"YYY")</f>
        <v>#REF!</v>
      </c>
      <c r="G479" t="e">
        <f>TEXT(#REF!,"MMM")</f>
        <v>#REF!</v>
      </c>
      <c r="H479" t="e">
        <f>TEXT(#REF!,"DDD")</f>
        <v>#REF!</v>
      </c>
      <c r="I479" t="e">
        <f>DATEDIF(#REF!,#REF!,"D")</f>
        <v>#REF!</v>
      </c>
      <c r="J479" s="7" t="e">
        <f>ROUND(Table2[[#This Row],[Quantity]]*Table2[[#This Row],[Unit Price]]*VLOOKUP(#REF!,Table_1[#All],2,FALSE),0)</f>
        <v>#REF!</v>
      </c>
      <c r="K479" s="7">
        <f>Table2[[#This Row],[Quantity]]*Table2[[#This Row],[Unit Price]]</f>
        <v>30</v>
      </c>
      <c r="L479" s="7" t="e">
        <f>Table2[[#This Row],[Sales Revenue]]-Table2[[#This Row],[Total Cost After Product Percentage Calc]]</f>
        <v>#REF!</v>
      </c>
    </row>
    <row r="480" spans="1:12" ht="14.25" customHeight="1" x14ac:dyDescent="0.3">
      <c r="A480" s="1">
        <v>1</v>
      </c>
      <c r="B480" s="1">
        <v>950</v>
      </c>
      <c r="C480" s="1" t="s">
        <v>10</v>
      </c>
      <c r="D480" s="1" t="s">
        <v>16</v>
      </c>
      <c r="E480" s="1" t="s">
        <v>14</v>
      </c>
      <c r="F480" t="e">
        <f>TEXT(#REF!,"YYY")</f>
        <v>#REF!</v>
      </c>
      <c r="G480" t="e">
        <f>TEXT(#REF!,"MMM")</f>
        <v>#REF!</v>
      </c>
      <c r="H480" t="e">
        <f>TEXT(#REF!,"DDD")</f>
        <v>#REF!</v>
      </c>
      <c r="I480" t="e">
        <f>DATEDIF(#REF!,#REF!,"D")</f>
        <v>#REF!</v>
      </c>
      <c r="J480" s="7" t="e">
        <f>ROUND(Table2[[#This Row],[Quantity]]*Table2[[#This Row],[Unit Price]]*VLOOKUP(#REF!,Table_1[#All],2,FALSE),0)</f>
        <v>#REF!</v>
      </c>
      <c r="K480" s="7">
        <f>Table2[[#This Row],[Quantity]]*Table2[[#This Row],[Unit Price]]</f>
        <v>950</v>
      </c>
      <c r="L480" s="7" t="e">
        <f>Table2[[#This Row],[Sales Revenue]]-Table2[[#This Row],[Total Cost After Product Percentage Calc]]</f>
        <v>#REF!</v>
      </c>
    </row>
    <row r="481" spans="1:12" ht="14.25" customHeight="1" x14ac:dyDescent="0.3">
      <c r="A481" s="1">
        <v>7</v>
      </c>
      <c r="B481" s="1">
        <v>996</v>
      </c>
      <c r="C481" s="1" t="s">
        <v>10</v>
      </c>
      <c r="D481" s="1" t="s">
        <v>31</v>
      </c>
      <c r="E481" s="1" t="s">
        <v>12</v>
      </c>
      <c r="F481" t="e">
        <f>TEXT(#REF!,"YYY")</f>
        <v>#REF!</v>
      </c>
      <c r="G481" t="e">
        <f>TEXT(#REF!,"MMM")</f>
        <v>#REF!</v>
      </c>
      <c r="H481" t="e">
        <f>TEXT(#REF!,"DDD")</f>
        <v>#REF!</v>
      </c>
      <c r="I481" t="e">
        <f>DATEDIF(#REF!,#REF!,"D")</f>
        <v>#REF!</v>
      </c>
      <c r="J481" s="7" t="e">
        <f>ROUND(Table2[[#This Row],[Quantity]]*Table2[[#This Row],[Unit Price]]*VLOOKUP(#REF!,Table_1[#All],2,FALSE),0)</f>
        <v>#REF!</v>
      </c>
      <c r="K481" s="7">
        <f>Table2[[#This Row],[Quantity]]*Table2[[#This Row],[Unit Price]]</f>
        <v>6972</v>
      </c>
      <c r="L481" s="7" t="e">
        <f>Table2[[#This Row],[Sales Revenue]]-Table2[[#This Row],[Total Cost After Product Percentage Calc]]</f>
        <v>#REF!</v>
      </c>
    </row>
    <row r="482" spans="1:12" ht="14.25" customHeight="1" x14ac:dyDescent="0.3">
      <c r="A482" s="1">
        <v>4</v>
      </c>
      <c r="B482" s="1">
        <v>439</v>
      </c>
      <c r="C482" s="1" t="s">
        <v>10</v>
      </c>
      <c r="D482" s="1" t="s">
        <v>21</v>
      </c>
      <c r="E482" s="1" t="s">
        <v>22</v>
      </c>
      <c r="F482" t="e">
        <f>TEXT(#REF!,"YYY")</f>
        <v>#REF!</v>
      </c>
      <c r="G482" t="e">
        <f>TEXT(#REF!,"MMM")</f>
        <v>#REF!</v>
      </c>
      <c r="H482" t="e">
        <f>TEXT(#REF!,"DDD")</f>
        <v>#REF!</v>
      </c>
      <c r="I482" t="e">
        <f>DATEDIF(#REF!,#REF!,"D")</f>
        <v>#REF!</v>
      </c>
      <c r="J482" s="7" t="e">
        <f>ROUND(Table2[[#This Row],[Quantity]]*Table2[[#This Row],[Unit Price]]*VLOOKUP(#REF!,Table_1[#All],2,FALSE),0)</f>
        <v>#REF!</v>
      </c>
      <c r="K482" s="7">
        <f>Table2[[#This Row],[Quantity]]*Table2[[#This Row],[Unit Price]]</f>
        <v>1756</v>
      </c>
      <c r="L482" s="7" t="e">
        <f>Table2[[#This Row],[Sales Revenue]]-Table2[[#This Row],[Total Cost After Product Percentage Calc]]</f>
        <v>#REF!</v>
      </c>
    </row>
    <row r="483" spans="1:12" ht="14.25" customHeight="1" x14ac:dyDescent="0.3">
      <c r="A483" s="1">
        <v>9</v>
      </c>
      <c r="B483" s="1">
        <v>727</v>
      </c>
      <c r="C483" s="1" t="s">
        <v>10</v>
      </c>
      <c r="D483" s="1" t="s">
        <v>11</v>
      </c>
      <c r="E483" s="1" t="s">
        <v>12</v>
      </c>
      <c r="F483" t="e">
        <f>TEXT(#REF!,"YYY")</f>
        <v>#REF!</v>
      </c>
      <c r="G483" t="e">
        <f>TEXT(#REF!,"MMM")</f>
        <v>#REF!</v>
      </c>
      <c r="H483" t="e">
        <f>TEXT(#REF!,"DDD")</f>
        <v>#REF!</v>
      </c>
      <c r="I483" t="e">
        <f>DATEDIF(#REF!,#REF!,"D")</f>
        <v>#REF!</v>
      </c>
      <c r="J483" s="7" t="e">
        <f>ROUND(Table2[[#This Row],[Quantity]]*Table2[[#This Row],[Unit Price]]*VLOOKUP(#REF!,Table_1[#All],2,FALSE),0)</f>
        <v>#REF!</v>
      </c>
      <c r="K483" s="7">
        <f>Table2[[#This Row],[Quantity]]*Table2[[#This Row],[Unit Price]]</f>
        <v>6543</v>
      </c>
      <c r="L483" s="7" t="e">
        <f>Table2[[#This Row],[Sales Revenue]]-Table2[[#This Row],[Total Cost After Product Percentage Calc]]</f>
        <v>#REF!</v>
      </c>
    </row>
    <row r="484" spans="1:12" ht="14.25" customHeight="1" x14ac:dyDescent="0.3">
      <c r="A484" s="1">
        <v>5</v>
      </c>
      <c r="B484" s="1">
        <v>314</v>
      </c>
      <c r="C484" s="1" t="s">
        <v>10</v>
      </c>
      <c r="D484" s="1" t="s">
        <v>24</v>
      </c>
      <c r="E484" s="1" t="s">
        <v>22</v>
      </c>
      <c r="F484" t="e">
        <f>TEXT(#REF!,"YYY")</f>
        <v>#REF!</v>
      </c>
      <c r="G484" t="e">
        <f>TEXT(#REF!,"MMM")</f>
        <v>#REF!</v>
      </c>
      <c r="H484" t="e">
        <f>TEXT(#REF!,"DDD")</f>
        <v>#REF!</v>
      </c>
      <c r="I484" t="e">
        <f>DATEDIF(#REF!,#REF!,"D")</f>
        <v>#REF!</v>
      </c>
      <c r="J484" s="7" t="e">
        <f>ROUND(Table2[[#This Row],[Quantity]]*Table2[[#This Row],[Unit Price]]*VLOOKUP(#REF!,Table_1[#All],2,FALSE),0)</f>
        <v>#REF!</v>
      </c>
      <c r="K484" s="7">
        <f>Table2[[#This Row],[Quantity]]*Table2[[#This Row],[Unit Price]]</f>
        <v>1570</v>
      </c>
      <c r="L484" s="7" t="e">
        <f>Table2[[#This Row],[Sales Revenue]]-Table2[[#This Row],[Total Cost After Product Percentage Calc]]</f>
        <v>#REF!</v>
      </c>
    </row>
    <row r="485" spans="1:12" ht="14.25" customHeight="1" x14ac:dyDescent="0.3">
      <c r="A485" s="1">
        <v>8</v>
      </c>
      <c r="B485" s="1">
        <v>419</v>
      </c>
      <c r="C485" s="1" t="s">
        <v>20</v>
      </c>
      <c r="D485" s="1" t="s">
        <v>11</v>
      </c>
      <c r="E485" s="1" t="s">
        <v>30</v>
      </c>
      <c r="F485" t="e">
        <f>TEXT(#REF!,"YYY")</f>
        <v>#REF!</v>
      </c>
      <c r="G485" t="e">
        <f>TEXT(#REF!,"MMM")</f>
        <v>#REF!</v>
      </c>
      <c r="H485" t="e">
        <f>TEXT(#REF!,"DDD")</f>
        <v>#REF!</v>
      </c>
      <c r="I485" t="e">
        <f>DATEDIF(#REF!,#REF!,"D")</f>
        <v>#REF!</v>
      </c>
      <c r="J485" s="7" t="e">
        <f>ROUND(Table2[[#This Row],[Quantity]]*Table2[[#This Row],[Unit Price]]*VLOOKUP(#REF!,Table_1[#All],2,FALSE),0)</f>
        <v>#REF!</v>
      </c>
      <c r="K485" s="7">
        <f>Table2[[#This Row],[Quantity]]*Table2[[#This Row],[Unit Price]]</f>
        <v>3352</v>
      </c>
      <c r="L485" s="7" t="e">
        <f>Table2[[#This Row],[Sales Revenue]]-Table2[[#This Row],[Total Cost After Product Percentage Calc]]</f>
        <v>#REF!</v>
      </c>
    </row>
    <row r="486" spans="1:12" ht="14.25" customHeight="1" x14ac:dyDescent="0.3">
      <c r="A486" s="1">
        <v>5</v>
      </c>
      <c r="B486" s="1">
        <v>900</v>
      </c>
      <c r="C486" s="1" t="s">
        <v>20</v>
      </c>
      <c r="D486" s="1" t="s">
        <v>16</v>
      </c>
      <c r="E486" s="1" t="s">
        <v>30</v>
      </c>
      <c r="F486" t="e">
        <f>TEXT(#REF!,"YYY")</f>
        <v>#REF!</v>
      </c>
      <c r="G486" t="e">
        <f>TEXT(#REF!,"MMM")</f>
        <v>#REF!</v>
      </c>
      <c r="H486" t="e">
        <f>TEXT(#REF!,"DDD")</f>
        <v>#REF!</v>
      </c>
      <c r="I486" t="e">
        <f>DATEDIF(#REF!,#REF!,"D")</f>
        <v>#REF!</v>
      </c>
      <c r="J486" s="7" t="e">
        <f>ROUND(Table2[[#This Row],[Quantity]]*Table2[[#This Row],[Unit Price]]*VLOOKUP(#REF!,Table_1[#All],2,FALSE),0)</f>
        <v>#REF!</v>
      </c>
      <c r="K486" s="7">
        <f>Table2[[#This Row],[Quantity]]*Table2[[#This Row],[Unit Price]]</f>
        <v>4500</v>
      </c>
      <c r="L486" s="7" t="e">
        <f>Table2[[#This Row],[Sales Revenue]]-Table2[[#This Row],[Total Cost After Product Percentage Calc]]</f>
        <v>#REF!</v>
      </c>
    </row>
    <row r="487" spans="1:12" ht="14.25" customHeight="1" x14ac:dyDescent="0.3">
      <c r="A487" s="1">
        <v>7</v>
      </c>
      <c r="B487" s="1">
        <v>444</v>
      </c>
      <c r="C487" s="1" t="s">
        <v>20</v>
      </c>
      <c r="D487" s="1" t="s">
        <v>16</v>
      </c>
      <c r="E487" s="1" t="s">
        <v>30</v>
      </c>
      <c r="F487" t="e">
        <f>TEXT(#REF!,"YYY")</f>
        <v>#REF!</v>
      </c>
      <c r="G487" t="e">
        <f>TEXT(#REF!,"MMM")</f>
        <v>#REF!</v>
      </c>
      <c r="H487" t="e">
        <f>TEXT(#REF!,"DDD")</f>
        <v>#REF!</v>
      </c>
      <c r="I487" t="e">
        <f>DATEDIF(#REF!,#REF!,"D")</f>
        <v>#REF!</v>
      </c>
      <c r="J487" s="7" t="e">
        <f>ROUND(Table2[[#This Row],[Quantity]]*Table2[[#This Row],[Unit Price]]*VLOOKUP(#REF!,Table_1[#All],2,FALSE),0)</f>
        <v>#REF!</v>
      </c>
      <c r="K487" s="7">
        <f>Table2[[#This Row],[Quantity]]*Table2[[#This Row],[Unit Price]]</f>
        <v>3108</v>
      </c>
      <c r="L487" s="7" t="e">
        <f>Table2[[#This Row],[Sales Revenue]]-Table2[[#This Row],[Total Cost After Product Percentage Calc]]</f>
        <v>#REF!</v>
      </c>
    </row>
    <row r="488" spans="1:12" ht="14.25" customHeight="1" x14ac:dyDescent="0.3">
      <c r="A488" s="1">
        <v>5</v>
      </c>
      <c r="B488" s="1">
        <v>615</v>
      </c>
      <c r="C488" s="1" t="s">
        <v>20</v>
      </c>
      <c r="D488" s="1" t="s">
        <v>16</v>
      </c>
      <c r="E488" s="1" t="s">
        <v>12</v>
      </c>
      <c r="F488" t="e">
        <f>TEXT(#REF!,"YYY")</f>
        <v>#REF!</v>
      </c>
      <c r="G488" t="e">
        <f>TEXT(#REF!,"MMM")</f>
        <v>#REF!</v>
      </c>
      <c r="H488" t="e">
        <f>TEXT(#REF!,"DDD")</f>
        <v>#REF!</v>
      </c>
      <c r="I488" t="e">
        <f>DATEDIF(#REF!,#REF!,"D")</f>
        <v>#REF!</v>
      </c>
      <c r="J488" s="7" t="e">
        <f>ROUND(Table2[[#This Row],[Quantity]]*Table2[[#This Row],[Unit Price]]*VLOOKUP(#REF!,Table_1[#All],2,FALSE),0)</f>
        <v>#REF!</v>
      </c>
      <c r="K488" s="7">
        <f>Table2[[#This Row],[Quantity]]*Table2[[#This Row],[Unit Price]]</f>
        <v>3075</v>
      </c>
      <c r="L488" s="7" t="e">
        <f>Table2[[#This Row],[Sales Revenue]]-Table2[[#This Row],[Total Cost After Product Percentage Calc]]</f>
        <v>#REF!</v>
      </c>
    </row>
    <row r="489" spans="1:12" ht="14.25" customHeight="1" x14ac:dyDescent="0.3">
      <c r="A489" s="1">
        <v>7</v>
      </c>
      <c r="B489" s="1">
        <v>595</v>
      </c>
      <c r="C489" s="1" t="s">
        <v>10</v>
      </c>
      <c r="D489" s="1" t="s">
        <v>11</v>
      </c>
      <c r="E489" s="1" t="s">
        <v>14</v>
      </c>
      <c r="F489" t="e">
        <f>TEXT(#REF!,"YYY")</f>
        <v>#REF!</v>
      </c>
      <c r="G489" t="e">
        <f>TEXT(#REF!,"MMM")</f>
        <v>#REF!</v>
      </c>
      <c r="H489" t="e">
        <f>TEXT(#REF!,"DDD")</f>
        <v>#REF!</v>
      </c>
      <c r="I489" t="e">
        <f>DATEDIF(#REF!,#REF!,"D")</f>
        <v>#REF!</v>
      </c>
      <c r="J489" s="7" t="e">
        <f>ROUND(Table2[[#This Row],[Quantity]]*Table2[[#This Row],[Unit Price]]*VLOOKUP(#REF!,Table_1[#All],2,FALSE),0)</f>
        <v>#REF!</v>
      </c>
      <c r="K489" s="7">
        <f>Table2[[#This Row],[Quantity]]*Table2[[#This Row],[Unit Price]]</f>
        <v>4165</v>
      </c>
      <c r="L489" s="7" t="e">
        <f>Table2[[#This Row],[Sales Revenue]]-Table2[[#This Row],[Total Cost After Product Percentage Calc]]</f>
        <v>#REF!</v>
      </c>
    </row>
    <row r="490" spans="1:12" ht="14.25" customHeight="1" x14ac:dyDescent="0.3">
      <c r="A490" s="1">
        <v>1</v>
      </c>
      <c r="B490" s="1">
        <v>669</v>
      </c>
      <c r="C490" s="1" t="s">
        <v>10</v>
      </c>
      <c r="D490" s="1" t="s">
        <v>11</v>
      </c>
      <c r="E490" s="1" t="s">
        <v>14</v>
      </c>
      <c r="F490" t="e">
        <f>TEXT(#REF!,"YYY")</f>
        <v>#REF!</v>
      </c>
      <c r="G490" t="e">
        <f>TEXT(#REF!,"MMM")</f>
        <v>#REF!</v>
      </c>
      <c r="H490" t="e">
        <f>TEXT(#REF!,"DDD")</f>
        <v>#REF!</v>
      </c>
      <c r="I490" t="e">
        <f>DATEDIF(#REF!,#REF!,"D")</f>
        <v>#REF!</v>
      </c>
      <c r="J490" s="7" t="e">
        <f>ROUND(Table2[[#This Row],[Quantity]]*Table2[[#This Row],[Unit Price]]*VLOOKUP(#REF!,Table_1[#All],2,FALSE),0)</f>
        <v>#REF!</v>
      </c>
      <c r="K490" s="7">
        <f>Table2[[#This Row],[Quantity]]*Table2[[#This Row],[Unit Price]]</f>
        <v>669</v>
      </c>
      <c r="L490" s="7" t="e">
        <f>Table2[[#This Row],[Sales Revenue]]-Table2[[#This Row],[Total Cost After Product Percentage Calc]]</f>
        <v>#REF!</v>
      </c>
    </row>
    <row r="491" spans="1:12" ht="14.25" customHeight="1" x14ac:dyDescent="0.3">
      <c r="A491" s="1">
        <v>9</v>
      </c>
      <c r="B491" s="1">
        <v>967</v>
      </c>
      <c r="C491" s="1" t="s">
        <v>10</v>
      </c>
      <c r="D491" s="1" t="s">
        <v>24</v>
      </c>
      <c r="E491" s="1" t="s">
        <v>14</v>
      </c>
      <c r="F491" t="e">
        <f>TEXT(#REF!,"YYY")</f>
        <v>#REF!</v>
      </c>
      <c r="G491" t="e">
        <f>TEXT(#REF!,"MMM")</f>
        <v>#REF!</v>
      </c>
      <c r="H491" t="e">
        <f>TEXT(#REF!,"DDD")</f>
        <v>#REF!</v>
      </c>
      <c r="I491" t="e">
        <f>DATEDIF(#REF!,#REF!,"D")</f>
        <v>#REF!</v>
      </c>
      <c r="J491" s="7" t="e">
        <f>ROUND(Table2[[#This Row],[Quantity]]*Table2[[#This Row],[Unit Price]]*VLOOKUP(#REF!,Table_1[#All],2,FALSE),0)</f>
        <v>#REF!</v>
      </c>
      <c r="K491" s="7">
        <f>Table2[[#This Row],[Quantity]]*Table2[[#This Row],[Unit Price]]</f>
        <v>8703</v>
      </c>
      <c r="L491" s="7" t="e">
        <f>Table2[[#This Row],[Sales Revenue]]-Table2[[#This Row],[Total Cost After Product Percentage Calc]]</f>
        <v>#REF!</v>
      </c>
    </row>
    <row r="492" spans="1:12" ht="14.25" customHeight="1" x14ac:dyDescent="0.3">
      <c r="A492" s="1">
        <v>5</v>
      </c>
      <c r="B492" s="1">
        <v>874</v>
      </c>
      <c r="C492" s="1" t="s">
        <v>10</v>
      </c>
      <c r="D492" s="1" t="s">
        <v>24</v>
      </c>
      <c r="E492" s="1" t="s">
        <v>30</v>
      </c>
      <c r="F492" t="e">
        <f>TEXT(#REF!,"YYY")</f>
        <v>#REF!</v>
      </c>
      <c r="G492" t="e">
        <f>TEXT(#REF!,"MMM")</f>
        <v>#REF!</v>
      </c>
      <c r="H492" t="e">
        <f>TEXT(#REF!,"DDD")</f>
        <v>#REF!</v>
      </c>
      <c r="I492" t="e">
        <f>DATEDIF(#REF!,#REF!,"D")</f>
        <v>#REF!</v>
      </c>
      <c r="J492" s="7" t="e">
        <f>ROUND(Table2[[#This Row],[Quantity]]*Table2[[#This Row],[Unit Price]]*VLOOKUP(#REF!,Table_1[#All],2,FALSE),0)</f>
        <v>#REF!</v>
      </c>
      <c r="K492" s="7">
        <f>Table2[[#This Row],[Quantity]]*Table2[[#This Row],[Unit Price]]</f>
        <v>4370</v>
      </c>
      <c r="L492" s="7" t="e">
        <f>Table2[[#This Row],[Sales Revenue]]-Table2[[#This Row],[Total Cost After Product Percentage Calc]]</f>
        <v>#REF!</v>
      </c>
    </row>
    <row r="493" spans="1:12" ht="14.25" customHeight="1" x14ac:dyDescent="0.3">
      <c r="A493" s="1">
        <v>6</v>
      </c>
      <c r="B493" s="1">
        <v>124</v>
      </c>
      <c r="C493" s="1" t="s">
        <v>20</v>
      </c>
      <c r="D493" s="1" t="s">
        <v>11</v>
      </c>
      <c r="E493" s="1" t="s">
        <v>30</v>
      </c>
      <c r="F493" t="e">
        <f>TEXT(#REF!,"YYY")</f>
        <v>#REF!</v>
      </c>
      <c r="G493" t="e">
        <f>TEXT(#REF!,"MMM")</f>
        <v>#REF!</v>
      </c>
      <c r="H493" t="e">
        <f>TEXT(#REF!,"DDD")</f>
        <v>#REF!</v>
      </c>
      <c r="I493" t="e">
        <f>DATEDIF(#REF!,#REF!,"D")</f>
        <v>#REF!</v>
      </c>
      <c r="J493" s="7" t="e">
        <f>ROUND(Table2[[#This Row],[Quantity]]*Table2[[#This Row],[Unit Price]]*VLOOKUP(#REF!,Table_1[#All],2,FALSE),0)</f>
        <v>#REF!</v>
      </c>
      <c r="K493" s="7">
        <f>Table2[[#This Row],[Quantity]]*Table2[[#This Row],[Unit Price]]</f>
        <v>744</v>
      </c>
      <c r="L493" s="7" t="e">
        <f>Table2[[#This Row],[Sales Revenue]]-Table2[[#This Row],[Total Cost After Product Percentage Calc]]</f>
        <v>#REF!</v>
      </c>
    </row>
    <row r="494" spans="1:12" ht="14.25" customHeight="1" x14ac:dyDescent="0.3">
      <c r="A494" s="1">
        <v>6</v>
      </c>
      <c r="B494" s="1">
        <v>894</v>
      </c>
      <c r="C494" s="1" t="s">
        <v>20</v>
      </c>
      <c r="D494" s="1" t="s">
        <v>24</v>
      </c>
      <c r="E494" s="1" t="s">
        <v>12</v>
      </c>
      <c r="F494" t="e">
        <f>TEXT(#REF!,"YYY")</f>
        <v>#REF!</v>
      </c>
      <c r="G494" t="e">
        <f>TEXT(#REF!,"MMM")</f>
        <v>#REF!</v>
      </c>
      <c r="H494" t="e">
        <f>TEXT(#REF!,"DDD")</f>
        <v>#REF!</v>
      </c>
      <c r="I494" t="e">
        <f>DATEDIF(#REF!,#REF!,"D")</f>
        <v>#REF!</v>
      </c>
      <c r="J494" s="7" t="e">
        <f>ROUND(Table2[[#This Row],[Quantity]]*Table2[[#This Row],[Unit Price]]*VLOOKUP(#REF!,Table_1[#All],2,FALSE),0)</f>
        <v>#REF!</v>
      </c>
      <c r="K494" s="7">
        <f>Table2[[#This Row],[Quantity]]*Table2[[#This Row],[Unit Price]]</f>
        <v>5364</v>
      </c>
      <c r="L494" s="7" t="e">
        <f>Table2[[#This Row],[Sales Revenue]]-Table2[[#This Row],[Total Cost After Product Percentage Calc]]</f>
        <v>#REF!</v>
      </c>
    </row>
    <row r="495" spans="1:12" ht="14.25" customHeight="1" x14ac:dyDescent="0.3">
      <c r="A495" s="1">
        <v>4</v>
      </c>
      <c r="B495" s="1">
        <v>740</v>
      </c>
      <c r="C495" s="1" t="s">
        <v>10</v>
      </c>
      <c r="D495" s="1" t="s">
        <v>16</v>
      </c>
      <c r="E495" s="1" t="s">
        <v>22</v>
      </c>
      <c r="F495" t="e">
        <f>TEXT(#REF!,"YYY")</f>
        <v>#REF!</v>
      </c>
      <c r="G495" t="e">
        <f>TEXT(#REF!,"MMM")</f>
        <v>#REF!</v>
      </c>
      <c r="H495" t="e">
        <f>TEXT(#REF!,"DDD")</f>
        <v>#REF!</v>
      </c>
      <c r="I495" t="e">
        <f>DATEDIF(#REF!,#REF!,"D")</f>
        <v>#REF!</v>
      </c>
      <c r="J495" s="7" t="e">
        <f>ROUND(Table2[[#This Row],[Quantity]]*Table2[[#This Row],[Unit Price]]*VLOOKUP(#REF!,Table_1[#All],2,FALSE),0)</f>
        <v>#REF!</v>
      </c>
      <c r="K495" s="7">
        <f>Table2[[#This Row],[Quantity]]*Table2[[#This Row],[Unit Price]]</f>
        <v>2960</v>
      </c>
      <c r="L495" s="7" t="e">
        <f>Table2[[#This Row],[Sales Revenue]]-Table2[[#This Row],[Total Cost After Product Percentage Calc]]</f>
        <v>#REF!</v>
      </c>
    </row>
    <row r="496" spans="1:12" ht="14.25" customHeight="1" x14ac:dyDescent="0.3">
      <c r="A496" s="1">
        <v>10</v>
      </c>
      <c r="B496" s="1">
        <v>741</v>
      </c>
      <c r="C496" s="1" t="s">
        <v>20</v>
      </c>
      <c r="D496" s="1" t="s">
        <v>31</v>
      </c>
      <c r="E496" s="1" t="s">
        <v>30</v>
      </c>
      <c r="F496" t="e">
        <f>TEXT(#REF!,"YYY")</f>
        <v>#REF!</v>
      </c>
      <c r="G496" t="e">
        <f>TEXT(#REF!,"MMM")</f>
        <v>#REF!</v>
      </c>
      <c r="H496" t="e">
        <f>TEXT(#REF!,"DDD")</f>
        <v>#REF!</v>
      </c>
      <c r="I496" t="e">
        <f>DATEDIF(#REF!,#REF!,"D")</f>
        <v>#REF!</v>
      </c>
      <c r="J496" s="7" t="e">
        <f>ROUND(Table2[[#This Row],[Quantity]]*Table2[[#This Row],[Unit Price]]*VLOOKUP(#REF!,Table_1[#All],2,FALSE),0)</f>
        <v>#REF!</v>
      </c>
      <c r="K496" s="7">
        <f>Table2[[#This Row],[Quantity]]*Table2[[#This Row],[Unit Price]]</f>
        <v>7410</v>
      </c>
      <c r="L496" s="7" t="e">
        <f>Table2[[#This Row],[Sales Revenue]]-Table2[[#This Row],[Total Cost After Product Percentage Calc]]</f>
        <v>#REF!</v>
      </c>
    </row>
    <row r="497" spans="1:12" ht="14.25" customHeight="1" x14ac:dyDescent="0.3">
      <c r="A497" s="1">
        <v>1</v>
      </c>
      <c r="B497" s="1">
        <v>474</v>
      </c>
      <c r="C497" s="1" t="s">
        <v>20</v>
      </c>
      <c r="D497" s="1" t="s">
        <v>24</v>
      </c>
      <c r="E497" s="1" t="s">
        <v>22</v>
      </c>
      <c r="F497" t="e">
        <f>TEXT(#REF!,"YYY")</f>
        <v>#REF!</v>
      </c>
      <c r="G497" t="e">
        <f>TEXT(#REF!,"MMM")</f>
        <v>#REF!</v>
      </c>
      <c r="H497" t="e">
        <f>TEXT(#REF!,"DDD")</f>
        <v>#REF!</v>
      </c>
      <c r="I497" t="e">
        <f>DATEDIF(#REF!,#REF!,"D")</f>
        <v>#REF!</v>
      </c>
      <c r="J497" s="7" t="e">
        <f>ROUND(Table2[[#This Row],[Quantity]]*Table2[[#This Row],[Unit Price]]*VLOOKUP(#REF!,Table_1[#All],2,FALSE),0)</f>
        <v>#REF!</v>
      </c>
      <c r="K497" s="7">
        <f>Table2[[#This Row],[Quantity]]*Table2[[#This Row],[Unit Price]]</f>
        <v>474</v>
      </c>
      <c r="L497" s="7" t="e">
        <f>Table2[[#This Row],[Sales Revenue]]-Table2[[#This Row],[Total Cost After Product Percentage Calc]]</f>
        <v>#REF!</v>
      </c>
    </row>
    <row r="498" spans="1:12" ht="14.25" customHeight="1" x14ac:dyDescent="0.3">
      <c r="A498" s="1">
        <v>7</v>
      </c>
      <c r="B498" s="1">
        <v>811</v>
      </c>
      <c r="C498" s="1" t="s">
        <v>20</v>
      </c>
      <c r="D498" s="1" t="s">
        <v>21</v>
      </c>
      <c r="E498" s="1" t="s">
        <v>12</v>
      </c>
      <c r="F498" t="e">
        <f>TEXT(#REF!,"YYY")</f>
        <v>#REF!</v>
      </c>
      <c r="G498" t="e">
        <f>TEXT(#REF!,"MMM")</f>
        <v>#REF!</v>
      </c>
      <c r="H498" t="e">
        <f>TEXT(#REF!,"DDD")</f>
        <v>#REF!</v>
      </c>
      <c r="I498" t="e">
        <f>DATEDIF(#REF!,#REF!,"D")</f>
        <v>#REF!</v>
      </c>
      <c r="J498" s="7" t="e">
        <f>ROUND(Table2[[#This Row],[Quantity]]*Table2[[#This Row],[Unit Price]]*VLOOKUP(#REF!,Table_1[#All],2,FALSE),0)</f>
        <v>#REF!</v>
      </c>
      <c r="K498" s="7">
        <f>Table2[[#This Row],[Quantity]]*Table2[[#This Row],[Unit Price]]</f>
        <v>5677</v>
      </c>
      <c r="L498" s="7" t="e">
        <f>Table2[[#This Row],[Sales Revenue]]-Table2[[#This Row],[Total Cost After Product Percentage Calc]]</f>
        <v>#REF!</v>
      </c>
    </row>
    <row r="499" spans="1:12" ht="14.25" customHeight="1" x14ac:dyDescent="0.3">
      <c r="A499" s="1">
        <v>4</v>
      </c>
      <c r="B499" s="1">
        <v>247</v>
      </c>
      <c r="C499" s="1" t="s">
        <v>10</v>
      </c>
      <c r="D499" s="1" t="s">
        <v>24</v>
      </c>
      <c r="E499" s="1" t="s">
        <v>30</v>
      </c>
      <c r="F499" t="e">
        <f>TEXT(#REF!,"YYY")</f>
        <v>#REF!</v>
      </c>
      <c r="G499" t="e">
        <f>TEXT(#REF!,"MMM")</f>
        <v>#REF!</v>
      </c>
      <c r="H499" t="e">
        <f>TEXT(#REF!,"DDD")</f>
        <v>#REF!</v>
      </c>
      <c r="I499" t="e">
        <f>DATEDIF(#REF!,#REF!,"D")</f>
        <v>#REF!</v>
      </c>
      <c r="J499" s="7" t="e">
        <f>ROUND(Table2[[#This Row],[Quantity]]*Table2[[#This Row],[Unit Price]]*VLOOKUP(#REF!,Table_1[#All],2,FALSE),0)</f>
        <v>#REF!</v>
      </c>
      <c r="K499" s="7">
        <f>Table2[[#This Row],[Quantity]]*Table2[[#This Row],[Unit Price]]</f>
        <v>988</v>
      </c>
      <c r="L499" s="7" t="e">
        <f>Table2[[#This Row],[Sales Revenue]]-Table2[[#This Row],[Total Cost After Product Percentage Calc]]</f>
        <v>#REF!</v>
      </c>
    </row>
    <row r="500" spans="1:12" ht="14.25" customHeight="1" x14ac:dyDescent="0.3">
      <c r="A500" s="1">
        <v>3</v>
      </c>
      <c r="B500" s="1">
        <v>774</v>
      </c>
      <c r="C500" s="1" t="s">
        <v>20</v>
      </c>
      <c r="D500" s="1" t="s">
        <v>31</v>
      </c>
      <c r="E500" s="1" t="s">
        <v>14</v>
      </c>
      <c r="F500" t="e">
        <f>TEXT(#REF!,"YYY")</f>
        <v>#REF!</v>
      </c>
      <c r="G500" t="e">
        <f>TEXT(#REF!,"MMM")</f>
        <v>#REF!</v>
      </c>
      <c r="H500" t="e">
        <f>TEXT(#REF!,"DDD")</f>
        <v>#REF!</v>
      </c>
      <c r="I500" t="e">
        <f>DATEDIF(#REF!,#REF!,"D")</f>
        <v>#REF!</v>
      </c>
      <c r="J500" s="7" t="e">
        <f>ROUND(Table2[[#This Row],[Quantity]]*Table2[[#This Row],[Unit Price]]*VLOOKUP(#REF!,Table_1[#All],2,FALSE),0)</f>
        <v>#REF!</v>
      </c>
      <c r="K500" s="7">
        <f>Table2[[#This Row],[Quantity]]*Table2[[#This Row],[Unit Price]]</f>
        <v>2322</v>
      </c>
      <c r="L500" s="7" t="e">
        <f>Table2[[#This Row],[Sales Revenue]]-Table2[[#This Row],[Total Cost After Product Percentage Calc]]</f>
        <v>#REF!</v>
      </c>
    </row>
    <row r="501" spans="1:12" ht="14.25" customHeight="1" x14ac:dyDescent="0.3">
      <c r="A501" s="1">
        <v>5</v>
      </c>
      <c r="B501" s="1">
        <v>63</v>
      </c>
      <c r="C501" s="1" t="s">
        <v>10</v>
      </c>
      <c r="D501" s="1" t="s">
        <v>16</v>
      </c>
      <c r="E501" s="1" t="s">
        <v>30</v>
      </c>
      <c r="F501" t="e">
        <f>TEXT(#REF!,"YYY")</f>
        <v>#REF!</v>
      </c>
      <c r="G501" t="e">
        <f>TEXT(#REF!,"MMM")</f>
        <v>#REF!</v>
      </c>
      <c r="H501" t="e">
        <f>TEXT(#REF!,"DDD")</f>
        <v>#REF!</v>
      </c>
      <c r="I501" t="e">
        <f>DATEDIF(#REF!,#REF!,"D")</f>
        <v>#REF!</v>
      </c>
      <c r="J501" s="7" t="e">
        <f>ROUND(Table2[[#This Row],[Quantity]]*Table2[[#This Row],[Unit Price]]*VLOOKUP(#REF!,Table_1[#All],2,FALSE),0)</f>
        <v>#REF!</v>
      </c>
      <c r="K501" s="7">
        <f>Table2[[#This Row],[Quantity]]*Table2[[#This Row],[Unit Price]]</f>
        <v>315</v>
      </c>
      <c r="L501" s="7" t="e">
        <f>Table2[[#This Row],[Sales Revenue]]-Table2[[#This Row],[Total Cost After Product Percentage Calc]]</f>
        <v>#REF!</v>
      </c>
    </row>
    <row r="502" spans="1:12" ht="14.25" customHeight="1" x14ac:dyDescent="0.3">
      <c r="A502" s="1">
        <v>1</v>
      </c>
      <c r="B502" s="1">
        <v>30</v>
      </c>
      <c r="C502" s="1" t="s">
        <v>20</v>
      </c>
      <c r="D502" s="1" t="s">
        <v>24</v>
      </c>
      <c r="E502" s="1" t="s">
        <v>12</v>
      </c>
      <c r="F502" t="e">
        <f>TEXT(#REF!,"YYY")</f>
        <v>#REF!</v>
      </c>
      <c r="G502" t="e">
        <f>TEXT(#REF!,"MMM")</f>
        <v>#REF!</v>
      </c>
      <c r="H502" t="e">
        <f>TEXT(#REF!,"DDD")</f>
        <v>#REF!</v>
      </c>
      <c r="I502" t="e">
        <f>DATEDIF(#REF!,#REF!,"D")</f>
        <v>#REF!</v>
      </c>
      <c r="J502" s="7" t="e">
        <f>ROUND(Table2[[#This Row],[Quantity]]*Table2[[#This Row],[Unit Price]]*VLOOKUP(#REF!,Table_1[#All],2,FALSE),0)</f>
        <v>#REF!</v>
      </c>
      <c r="K502" s="7">
        <f>Table2[[#This Row],[Quantity]]*Table2[[#This Row],[Unit Price]]</f>
        <v>30</v>
      </c>
      <c r="L502" s="7" t="e">
        <f>Table2[[#This Row],[Sales Revenue]]-Table2[[#This Row],[Total Cost After Product Percentage Calc]]</f>
        <v>#REF!</v>
      </c>
    </row>
    <row r="503" spans="1:12" ht="14.25" customHeight="1" x14ac:dyDescent="0.3">
      <c r="A503" s="1">
        <v>7</v>
      </c>
      <c r="B503" s="1">
        <v>149</v>
      </c>
      <c r="C503" s="1" t="s">
        <v>20</v>
      </c>
      <c r="D503" s="1" t="s">
        <v>11</v>
      </c>
      <c r="E503" s="1" t="s">
        <v>22</v>
      </c>
      <c r="F503" t="e">
        <f>TEXT(#REF!,"YYY")</f>
        <v>#REF!</v>
      </c>
      <c r="G503" t="e">
        <f>TEXT(#REF!,"MMM")</f>
        <v>#REF!</v>
      </c>
      <c r="H503" t="e">
        <f>TEXT(#REF!,"DDD")</f>
        <v>#REF!</v>
      </c>
      <c r="I503" t="e">
        <f>DATEDIF(#REF!,#REF!,"D")</f>
        <v>#REF!</v>
      </c>
      <c r="J503" s="7" t="e">
        <f>ROUND(Table2[[#This Row],[Quantity]]*Table2[[#This Row],[Unit Price]]*VLOOKUP(#REF!,Table_1[#All],2,FALSE),0)</f>
        <v>#REF!</v>
      </c>
      <c r="K503" s="7">
        <f>Table2[[#This Row],[Quantity]]*Table2[[#This Row],[Unit Price]]</f>
        <v>1043</v>
      </c>
      <c r="L503" s="7" t="e">
        <f>Table2[[#This Row],[Sales Revenue]]-Table2[[#This Row],[Total Cost After Product Percentage Calc]]</f>
        <v>#REF!</v>
      </c>
    </row>
    <row r="504" spans="1:12" ht="14.25" customHeight="1" x14ac:dyDescent="0.3">
      <c r="A504" s="1">
        <v>4</v>
      </c>
      <c r="B504" s="1">
        <v>212</v>
      </c>
      <c r="C504" s="1" t="s">
        <v>10</v>
      </c>
      <c r="D504" s="1" t="s">
        <v>21</v>
      </c>
      <c r="E504" s="1" t="s">
        <v>12</v>
      </c>
      <c r="F504" t="e">
        <f>TEXT(#REF!,"YYY")</f>
        <v>#REF!</v>
      </c>
      <c r="G504" t="e">
        <f>TEXT(#REF!,"MMM")</f>
        <v>#REF!</v>
      </c>
      <c r="H504" t="e">
        <f>TEXT(#REF!,"DDD")</f>
        <v>#REF!</v>
      </c>
      <c r="I504" t="e">
        <f>DATEDIF(#REF!,#REF!,"D")</f>
        <v>#REF!</v>
      </c>
      <c r="J504" s="7" t="e">
        <f>ROUND(Table2[[#This Row],[Quantity]]*Table2[[#This Row],[Unit Price]]*VLOOKUP(#REF!,Table_1[#All],2,FALSE),0)</f>
        <v>#REF!</v>
      </c>
      <c r="K504" s="7">
        <f>Table2[[#This Row],[Quantity]]*Table2[[#This Row],[Unit Price]]</f>
        <v>848</v>
      </c>
      <c r="L504" s="7" t="e">
        <f>Table2[[#This Row],[Sales Revenue]]-Table2[[#This Row],[Total Cost After Product Percentage Calc]]</f>
        <v>#REF!</v>
      </c>
    </row>
    <row r="505" spans="1:12" ht="14.25" customHeight="1" x14ac:dyDescent="0.3">
      <c r="A505" s="1">
        <v>10</v>
      </c>
      <c r="B505" s="1">
        <v>639</v>
      </c>
      <c r="C505" s="1" t="s">
        <v>20</v>
      </c>
      <c r="D505" s="1" t="s">
        <v>31</v>
      </c>
      <c r="E505" s="1" t="s">
        <v>30</v>
      </c>
      <c r="F505" t="e">
        <f>TEXT(#REF!,"YYY")</f>
        <v>#REF!</v>
      </c>
      <c r="G505" t="e">
        <f>TEXT(#REF!,"MMM")</f>
        <v>#REF!</v>
      </c>
      <c r="H505" t="e">
        <f>TEXT(#REF!,"DDD")</f>
        <v>#REF!</v>
      </c>
      <c r="I505" t="e">
        <f>DATEDIF(#REF!,#REF!,"D")</f>
        <v>#REF!</v>
      </c>
      <c r="J505" s="7" t="e">
        <f>ROUND(Table2[[#This Row],[Quantity]]*Table2[[#This Row],[Unit Price]]*VLOOKUP(#REF!,Table_1[#All],2,FALSE),0)</f>
        <v>#REF!</v>
      </c>
      <c r="K505" s="7">
        <f>Table2[[#This Row],[Quantity]]*Table2[[#This Row],[Unit Price]]</f>
        <v>6390</v>
      </c>
      <c r="L505" s="7" t="e">
        <f>Table2[[#This Row],[Sales Revenue]]-Table2[[#This Row],[Total Cost After Product Percentage Calc]]</f>
        <v>#REF!</v>
      </c>
    </row>
    <row r="506" spans="1:12" ht="14.25" customHeight="1" x14ac:dyDescent="0.3">
      <c r="A506" s="1">
        <v>7</v>
      </c>
      <c r="B506" s="1">
        <v>785</v>
      </c>
      <c r="C506" s="1" t="s">
        <v>10</v>
      </c>
      <c r="D506" s="1" t="s">
        <v>31</v>
      </c>
      <c r="E506" s="1" t="s">
        <v>14</v>
      </c>
      <c r="F506" t="e">
        <f>TEXT(#REF!,"YYY")</f>
        <v>#REF!</v>
      </c>
      <c r="G506" t="e">
        <f>TEXT(#REF!,"MMM")</f>
        <v>#REF!</v>
      </c>
      <c r="H506" t="e">
        <f>TEXT(#REF!,"DDD")</f>
        <v>#REF!</v>
      </c>
      <c r="I506" t="e">
        <f>DATEDIF(#REF!,#REF!,"D")</f>
        <v>#REF!</v>
      </c>
      <c r="J506" s="7" t="e">
        <f>ROUND(Table2[[#This Row],[Quantity]]*Table2[[#This Row],[Unit Price]]*VLOOKUP(#REF!,Table_1[#All],2,FALSE),0)</f>
        <v>#REF!</v>
      </c>
      <c r="K506" s="7">
        <f>Table2[[#This Row],[Quantity]]*Table2[[#This Row],[Unit Price]]</f>
        <v>5495</v>
      </c>
      <c r="L506" s="7" t="e">
        <f>Table2[[#This Row],[Sales Revenue]]-Table2[[#This Row],[Total Cost After Product Percentage Calc]]</f>
        <v>#REF!</v>
      </c>
    </row>
    <row r="507" spans="1:12" ht="14.25" customHeight="1" x14ac:dyDescent="0.3">
      <c r="A507" s="1">
        <v>8</v>
      </c>
      <c r="B507" s="1">
        <v>656</v>
      </c>
      <c r="C507" s="1" t="s">
        <v>10</v>
      </c>
      <c r="D507" s="1" t="s">
        <v>11</v>
      </c>
      <c r="E507" s="1" t="s">
        <v>30</v>
      </c>
      <c r="F507" t="e">
        <f>TEXT(#REF!,"YYY")</f>
        <v>#REF!</v>
      </c>
      <c r="G507" t="e">
        <f>TEXT(#REF!,"MMM")</f>
        <v>#REF!</v>
      </c>
      <c r="H507" t="e">
        <f>TEXT(#REF!,"DDD")</f>
        <v>#REF!</v>
      </c>
      <c r="I507" t="e">
        <f>DATEDIF(#REF!,#REF!,"D")</f>
        <v>#REF!</v>
      </c>
      <c r="J507" s="7" t="e">
        <f>ROUND(Table2[[#This Row],[Quantity]]*Table2[[#This Row],[Unit Price]]*VLOOKUP(#REF!,Table_1[#All],2,FALSE),0)</f>
        <v>#REF!</v>
      </c>
      <c r="K507" s="7">
        <f>Table2[[#This Row],[Quantity]]*Table2[[#This Row],[Unit Price]]</f>
        <v>5248</v>
      </c>
      <c r="L507" s="7" t="e">
        <f>Table2[[#This Row],[Sales Revenue]]-Table2[[#This Row],[Total Cost After Product Percentage Calc]]</f>
        <v>#REF!</v>
      </c>
    </row>
    <row r="508" spans="1:12" ht="14.25" customHeight="1" x14ac:dyDescent="0.3">
      <c r="A508" s="1">
        <v>3</v>
      </c>
      <c r="B508" s="1">
        <v>703</v>
      </c>
      <c r="C508" s="1" t="s">
        <v>10</v>
      </c>
      <c r="D508" s="1" t="s">
        <v>31</v>
      </c>
      <c r="E508" s="1" t="s">
        <v>22</v>
      </c>
      <c r="F508" t="e">
        <f>TEXT(#REF!,"YYY")</f>
        <v>#REF!</v>
      </c>
      <c r="G508" t="e">
        <f>TEXT(#REF!,"MMM")</f>
        <v>#REF!</v>
      </c>
      <c r="H508" t="e">
        <f>TEXT(#REF!,"DDD")</f>
        <v>#REF!</v>
      </c>
      <c r="I508" t="e">
        <f>DATEDIF(#REF!,#REF!,"D")</f>
        <v>#REF!</v>
      </c>
      <c r="J508" s="7" t="e">
        <f>ROUND(Table2[[#This Row],[Quantity]]*Table2[[#This Row],[Unit Price]]*VLOOKUP(#REF!,Table_1[#All],2,FALSE),0)</f>
        <v>#REF!</v>
      </c>
      <c r="K508" s="7">
        <f>Table2[[#This Row],[Quantity]]*Table2[[#This Row],[Unit Price]]</f>
        <v>2109</v>
      </c>
      <c r="L508" s="7" t="e">
        <f>Table2[[#This Row],[Sales Revenue]]-Table2[[#This Row],[Total Cost After Product Percentage Calc]]</f>
        <v>#REF!</v>
      </c>
    </row>
    <row r="509" spans="1:12" ht="14.25" customHeight="1" x14ac:dyDescent="0.3">
      <c r="A509" s="1">
        <v>3</v>
      </c>
      <c r="B509" s="1">
        <v>908</v>
      </c>
      <c r="C509" s="1" t="s">
        <v>20</v>
      </c>
      <c r="D509" s="1" t="s">
        <v>31</v>
      </c>
      <c r="E509" s="1" t="s">
        <v>12</v>
      </c>
      <c r="F509" t="e">
        <f>TEXT(#REF!,"YYY")</f>
        <v>#REF!</v>
      </c>
      <c r="G509" t="e">
        <f>TEXT(#REF!,"MMM")</f>
        <v>#REF!</v>
      </c>
      <c r="H509" t="e">
        <f>TEXT(#REF!,"DDD")</f>
        <v>#REF!</v>
      </c>
      <c r="I509" t="e">
        <f>DATEDIF(#REF!,#REF!,"D")</f>
        <v>#REF!</v>
      </c>
      <c r="J509" s="7" t="e">
        <f>ROUND(Table2[[#This Row],[Quantity]]*Table2[[#This Row],[Unit Price]]*VLOOKUP(#REF!,Table_1[#All],2,FALSE),0)</f>
        <v>#REF!</v>
      </c>
      <c r="K509" s="7">
        <f>Table2[[#This Row],[Quantity]]*Table2[[#This Row],[Unit Price]]</f>
        <v>2724</v>
      </c>
      <c r="L509" s="7" t="e">
        <f>Table2[[#This Row],[Sales Revenue]]-Table2[[#This Row],[Total Cost After Product Percentage Calc]]</f>
        <v>#REF!</v>
      </c>
    </row>
    <row r="510" spans="1:12" ht="14.25" customHeight="1" x14ac:dyDescent="0.3">
      <c r="A510" s="1">
        <v>7</v>
      </c>
      <c r="B510" s="1">
        <v>50</v>
      </c>
      <c r="C510" s="1" t="s">
        <v>20</v>
      </c>
      <c r="D510" s="1" t="s">
        <v>21</v>
      </c>
      <c r="E510" s="1" t="s">
        <v>22</v>
      </c>
      <c r="F510" t="e">
        <f>TEXT(#REF!,"YYY")</f>
        <v>#REF!</v>
      </c>
      <c r="G510" t="e">
        <f>TEXT(#REF!,"MMM")</f>
        <v>#REF!</v>
      </c>
      <c r="H510" t="e">
        <f>TEXT(#REF!,"DDD")</f>
        <v>#REF!</v>
      </c>
      <c r="I510" t="e">
        <f>DATEDIF(#REF!,#REF!,"D")</f>
        <v>#REF!</v>
      </c>
      <c r="J510" s="7" t="e">
        <f>ROUND(Table2[[#This Row],[Quantity]]*Table2[[#This Row],[Unit Price]]*VLOOKUP(#REF!,Table_1[#All],2,FALSE),0)</f>
        <v>#REF!</v>
      </c>
      <c r="K510" s="7">
        <f>Table2[[#This Row],[Quantity]]*Table2[[#This Row],[Unit Price]]</f>
        <v>350</v>
      </c>
      <c r="L510" s="7" t="e">
        <f>Table2[[#This Row],[Sales Revenue]]-Table2[[#This Row],[Total Cost After Product Percentage Calc]]</f>
        <v>#REF!</v>
      </c>
    </row>
    <row r="511" spans="1:12" ht="14.25" customHeight="1" x14ac:dyDescent="0.3">
      <c r="A511" s="1">
        <v>10</v>
      </c>
      <c r="B511" s="1">
        <v>723</v>
      </c>
      <c r="C511" s="1" t="s">
        <v>20</v>
      </c>
      <c r="D511" s="1" t="s">
        <v>16</v>
      </c>
      <c r="E511" s="1" t="s">
        <v>22</v>
      </c>
      <c r="F511" t="e">
        <f>TEXT(#REF!,"YYY")</f>
        <v>#REF!</v>
      </c>
      <c r="G511" t="e">
        <f>TEXT(#REF!,"MMM")</f>
        <v>#REF!</v>
      </c>
      <c r="H511" t="e">
        <f>TEXT(#REF!,"DDD")</f>
        <v>#REF!</v>
      </c>
      <c r="I511" t="e">
        <f>DATEDIF(#REF!,#REF!,"D")</f>
        <v>#REF!</v>
      </c>
      <c r="J511" s="7" t="e">
        <f>ROUND(Table2[[#This Row],[Quantity]]*Table2[[#This Row],[Unit Price]]*VLOOKUP(#REF!,Table_1[#All],2,FALSE),0)</f>
        <v>#REF!</v>
      </c>
      <c r="K511" s="7">
        <f>Table2[[#This Row],[Quantity]]*Table2[[#This Row],[Unit Price]]</f>
        <v>7230</v>
      </c>
      <c r="L511" s="7" t="e">
        <f>Table2[[#This Row],[Sales Revenue]]-Table2[[#This Row],[Total Cost After Product Percentage Calc]]</f>
        <v>#REF!</v>
      </c>
    </row>
    <row r="512" spans="1:12" ht="14.25" customHeight="1" x14ac:dyDescent="0.3">
      <c r="A512" s="1">
        <v>7</v>
      </c>
      <c r="B512" s="1">
        <v>568</v>
      </c>
      <c r="C512" s="1" t="s">
        <v>20</v>
      </c>
      <c r="D512" s="1" t="s">
        <v>31</v>
      </c>
      <c r="E512" s="1" t="s">
        <v>30</v>
      </c>
      <c r="F512" t="e">
        <f>TEXT(#REF!,"YYY")</f>
        <v>#REF!</v>
      </c>
      <c r="G512" t="e">
        <f>TEXT(#REF!,"MMM")</f>
        <v>#REF!</v>
      </c>
      <c r="H512" t="e">
        <f>TEXT(#REF!,"DDD")</f>
        <v>#REF!</v>
      </c>
      <c r="I512" t="e">
        <f>DATEDIF(#REF!,#REF!,"D")</f>
        <v>#REF!</v>
      </c>
      <c r="J512" s="7" t="e">
        <f>ROUND(Table2[[#This Row],[Quantity]]*Table2[[#This Row],[Unit Price]]*VLOOKUP(#REF!,Table_1[#All],2,FALSE),0)</f>
        <v>#REF!</v>
      </c>
      <c r="K512" s="7">
        <f>Table2[[#This Row],[Quantity]]*Table2[[#This Row],[Unit Price]]</f>
        <v>3976</v>
      </c>
      <c r="L512" s="7" t="e">
        <f>Table2[[#This Row],[Sales Revenue]]-Table2[[#This Row],[Total Cost After Product Percentage Calc]]</f>
        <v>#REF!</v>
      </c>
    </row>
    <row r="513" spans="1:12" ht="14.25" customHeight="1" x14ac:dyDescent="0.3">
      <c r="A513" s="1">
        <v>6</v>
      </c>
      <c r="B513" s="1">
        <v>250</v>
      </c>
      <c r="C513" s="1" t="s">
        <v>20</v>
      </c>
      <c r="D513" s="1" t="s">
        <v>21</v>
      </c>
      <c r="E513" s="1" t="s">
        <v>22</v>
      </c>
      <c r="F513" t="e">
        <f>TEXT(#REF!,"YYY")</f>
        <v>#REF!</v>
      </c>
      <c r="G513" t="e">
        <f>TEXT(#REF!,"MMM")</f>
        <v>#REF!</v>
      </c>
      <c r="H513" t="e">
        <f>TEXT(#REF!,"DDD")</f>
        <v>#REF!</v>
      </c>
      <c r="I513" t="e">
        <f>DATEDIF(#REF!,#REF!,"D")</f>
        <v>#REF!</v>
      </c>
      <c r="J513" s="7" t="e">
        <f>ROUND(Table2[[#This Row],[Quantity]]*Table2[[#This Row],[Unit Price]]*VLOOKUP(#REF!,Table_1[#All],2,FALSE),0)</f>
        <v>#REF!</v>
      </c>
      <c r="K513" s="7">
        <f>Table2[[#This Row],[Quantity]]*Table2[[#This Row],[Unit Price]]</f>
        <v>1500</v>
      </c>
      <c r="L513" s="7" t="e">
        <f>Table2[[#This Row],[Sales Revenue]]-Table2[[#This Row],[Total Cost After Product Percentage Calc]]</f>
        <v>#REF!</v>
      </c>
    </row>
    <row r="514" spans="1:12" ht="14.25" customHeight="1" x14ac:dyDescent="0.3">
      <c r="A514" s="1">
        <v>4</v>
      </c>
      <c r="B514" s="1">
        <v>572</v>
      </c>
      <c r="C514" s="1" t="s">
        <v>10</v>
      </c>
      <c r="D514" s="1" t="s">
        <v>21</v>
      </c>
      <c r="E514" s="1" t="s">
        <v>22</v>
      </c>
      <c r="F514" t="e">
        <f>TEXT(#REF!,"YYY")</f>
        <v>#REF!</v>
      </c>
      <c r="G514" t="e">
        <f>TEXT(#REF!,"MMM")</f>
        <v>#REF!</v>
      </c>
      <c r="H514" t="e">
        <f>TEXT(#REF!,"DDD")</f>
        <v>#REF!</v>
      </c>
      <c r="I514" t="e">
        <f>DATEDIF(#REF!,#REF!,"D")</f>
        <v>#REF!</v>
      </c>
      <c r="J514" s="7" t="e">
        <f>ROUND(Table2[[#This Row],[Quantity]]*Table2[[#This Row],[Unit Price]]*VLOOKUP(#REF!,Table_1[#All],2,FALSE),0)</f>
        <v>#REF!</v>
      </c>
      <c r="K514" s="7">
        <f>Table2[[#This Row],[Quantity]]*Table2[[#This Row],[Unit Price]]</f>
        <v>2288</v>
      </c>
      <c r="L514" s="7" t="e">
        <f>Table2[[#This Row],[Sales Revenue]]-Table2[[#This Row],[Total Cost After Product Percentage Calc]]</f>
        <v>#REF!</v>
      </c>
    </row>
    <row r="515" spans="1:12" ht="14.25" customHeight="1" x14ac:dyDescent="0.3">
      <c r="A515" s="1">
        <v>8</v>
      </c>
      <c r="B515" s="1">
        <v>849</v>
      </c>
      <c r="C515" s="1" t="s">
        <v>20</v>
      </c>
      <c r="D515" s="1" t="s">
        <v>11</v>
      </c>
      <c r="E515" s="1" t="s">
        <v>14</v>
      </c>
      <c r="F515" t="e">
        <f>TEXT(#REF!,"YYY")</f>
        <v>#REF!</v>
      </c>
      <c r="G515" t="e">
        <f>TEXT(#REF!,"MMM")</f>
        <v>#REF!</v>
      </c>
      <c r="H515" t="e">
        <f>TEXT(#REF!,"DDD")</f>
        <v>#REF!</v>
      </c>
      <c r="I515" t="e">
        <f>DATEDIF(#REF!,#REF!,"D")</f>
        <v>#REF!</v>
      </c>
      <c r="J515" s="7" t="e">
        <f>ROUND(Table2[[#This Row],[Quantity]]*Table2[[#This Row],[Unit Price]]*VLOOKUP(#REF!,Table_1[#All],2,FALSE),0)</f>
        <v>#REF!</v>
      </c>
      <c r="K515" s="7">
        <f>Table2[[#This Row],[Quantity]]*Table2[[#This Row],[Unit Price]]</f>
        <v>6792</v>
      </c>
      <c r="L515" s="7" t="e">
        <f>Table2[[#This Row],[Sales Revenue]]-Table2[[#This Row],[Total Cost After Product Percentage Calc]]</f>
        <v>#REF!</v>
      </c>
    </row>
    <row r="516" spans="1:12" ht="14.25" customHeight="1" x14ac:dyDescent="0.3">
      <c r="A516" s="1">
        <v>8</v>
      </c>
      <c r="B516" s="1">
        <v>858</v>
      </c>
      <c r="C516" s="1" t="s">
        <v>20</v>
      </c>
      <c r="D516" s="1" t="s">
        <v>31</v>
      </c>
      <c r="E516" s="1" t="s">
        <v>14</v>
      </c>
      <c r="F516" t="e">
        <f>TEXT(#REF!,"YYY")</f>
        <v>#REF!</v>
      </c>
      <c r="G516" t="e">
        <f>TEXT(#REF!,"MMM")</f>
        <v>#REF!</v>
      </c>
      <c r="H516" t="e">
        <f>TEXT(#REF!,"DDD")</f>
        <v>#REF!</v>
      </c>
      <c r="I516" t="e">
        <f>DATEDIF(#REF!,#REF!,"D")</f>
        <v>#REF!</v>
      </c>
      <c r="J516" s="7" t="e">
        <f>ROUND(Table2[[#This Row],[Quantity]]*Table2[[#This Row],[Unit Price]]*VLOOKUP(#REF!,Table_1[#All],2,FALSE),0)</f>
        <v>#REF!</v>
      </c>
      <c r="K516" s="7">
        <f>Table2[[#This Row],[Quantity]]*Table2[[#This Row],[Unit Price]]</f>
        <v>6864</v>
      </c>
      <c r="L516" s="7" t="e">
        <f>Table2[[#This Row],[Sales Revenue]]-Table2[[#This Row],[Total Cost After Product Percentage Calc]]</f>
        <v>#REF!</v>
      </c>
    </row>
    <row r="517" spans="1:12" ht="14.25" customHeight="1" x14ac:dyDescent="0.3">
      <c r="A517" s="1">
        <v>1</v>
      </c>
      <c r="B517" s="1">
        <v>256</v>
      </c>
      <c r="C517" s="1" t="s">
        <v>10</v>
      </c>
      <c r="D517" s="1" t="s">
        <v>24</v>
      </c>
      <c r="E517" s="1" t="s">
        <v>30</v>
      </c>
      <c r="F517" t="e">
        <f>TEXT(#REF!,"YYY")</f>
        <v>#REF!</v>
      </c>
      <c r="G517" t="e">
        <f>TEXT(#REF!,"MMM")</f>
        <v>#REF!</v>
      </c>
      <c r="H517" t="e">
        <f>TEXT(#REF!,"DDD")</f>
        <v>#REF!</v>
      </c>
      <c r="I517" t="e">
        <f>DATEDIF(#REF!,#REF!,"D")</f>
        <v>#REF!</v>
      </c>
      <c r="J517" s="7" t="e">
        <f>ROUND(Table2[[#This Row],[Quantity]]*Table2[[#This Row],[Unit Price]]*VLOOKUP(#REF!,Table_1[#All],2,FALSE),0)</f>
        <v>#REF!</v>
      </c>
      <c r="K517" s="7">
        <f>Table2[[#This Row],[Quantity]]*Table2[[#This Row],[Unit Price]]</f>
        <v>256</v>
      </c>
      <c r="L517" s="7" t="e">
        <f>Table2[[#This Row],[Sales Revenue]]-Table2[[#This Row],[Total Cost After Product Percentage Calc]]</f>
        <v>#REF!</v>
      </c>
    </row>
    <row r="518" spans="1:12" ht="14.25" customHeight="1" x14ac:dyDescent="0.3">
      <c r="A518" s="1">
        <v>8</v>
      </c>
      <c r="B518" s="1">
        <v>453</v>
      </c>
      <c r="C518" s="1" t="s">
        <v>20</v>
      </c>
      <c r="D518" s="1" t="s">
        <v>16</v>
      </c>
      <c r="E518" s="1" t="s">
        <v>14</v>
      </c>
      <c r="F518" t="e">
        <f>TEXT(#REF!,"YYY")</f>
        <v>#REF!</v>
      </c>
      <c r="G518" t="e">
        <f>TEXT(#REF!,"MMM")</f>
        <v>#REF!</v>
      </c>
      <c r="H518" t="e">
        <f>TEXT(#REF!,"DDD")</f>
        <v>#REF!</v>
      </c>
      <c r="I518" t="e">
        <f>DATEDIF(#REF!,#REF!,"D")</f>
        <v>#REF!</v>
      </c>
      <c r="J518" s="7" t="e">
        <f>ROUND(Table2[[#This Row],[Quantity]]*Table2[[#This Row],[Unit Price]]*VLOOKUP(#REF!,Table_1[#All],2,FALSE),0)</f>
        <v>#REF!</v>
      </c>
      <c r="K518" s="7">
        <f>Table2[[#This Row],[Quantity]]*Table2[[#This Row],[Unit Price]]</f>
        <v>3624</v>
      </c>
      <c r="L518" s="7" t="e">
        <f>Table2[[#This Row],[Sales Revenue]]-Table2[[#This Row],[Total Cost After Product Percentage Calc]]</f>
        <v>#REF!</v>
      </c>
    </row>
    <row r="519" spans="1:12" ht="14.25" customHeight="1" x14ac:dyDescent="0.3">
      <c r="A519" s="1">
        <v>6</v>
      </c>
      <c r="B519" s="1">
        <v>218</v>
      </c>
      <c r="C519" s="1" t="s">
        <v>20</v>
      </c>
      <c r="D519" s="1" t="s">
        <v>24</v>
      </c>
      <c r="E519" s="1" t="s">
        <v>12</v>
      </c>
      <c r="F519" t="e">
        <f>TEXT(#REF!,"YYY")</f>
        <v>#REF!</v>
      </c>
      <c r="G519" t="e">
        <f>TEXT(#REF!,"MMM")</f>
        <v>#REF!</v>
      </c>
      <c r="H519" t="e">
        <f>TEXT(#REF!,"DDD")</f>
        <v>#REF!</v>
      </c>
      <c r="I519" t="e">
        <f>DATEDIF(#REF!,#REF!,"D")</f>
        <v>#REF!</v>
      </c>
      <c r="J519" s="7" t="e">
        <f>ROUND(Table2[[#This Row],[Quantity]]*Table2[[#This Row],[Unit Price]]*VLOOKUP(#REF!,Table_1[#All],2,FALSE),0)</f>
        <v>#REF!</v>
      </c>
      <c r="K519" s="7">
        <f>Table2[[#This Row],[Quantity]]*Table2[[#This Row],[Unit Price]]</f>
        <v>1308</v>
      </c>
      <c r="L519" s="7" t="e">
        <f>Table2[[#This Row],[Sales Revenue]]-Table2[[#This Row],[Total Cost After Product Percentage Calc]]</f>
        <v>#REF!</v>
      </c>
    </row>
    <row r="520" spans="1:12" ht="14.25" customHeight="1" x14ac:dyDescent="0.3">
      <c r="A520" s="1">
        <v>7</v>
      </c>
      <c r="B520" s="1">
        <v>481</v>
      </c>
      <c r="C520" s="1" t="s">
        <v>20</v>
      </c>
      <c r="D520" s="1" t="s">
        <v>16</v>
      </c>
      <c r="E520" s="1" t="s">
        <v>30</v>
      </c>
      <c r="F520" t="e">
        <f>TEXT(#REF!,"YYY")</f>
        <v>#REF!</v>
      </c>
      <c r="G520" t="e">
        <f>TEXT(#REF!,"MMM")</f>
        <v>#REF!</v>
      </c>
      <c r="H520" t="e">
        <f>TEXT(#REF!,"DDD")</f>
        <v>#REF!</v>
      </c>
      <c r="I520" t="e">
        <f>DATEDIF(#REF!,#REF!,"D")</f>
        <v>#REF!</v>
      </c>
      <c r="J520" s="7" t="e">
        <f>ROUND(Table2[[#This Row],[Quantity]]*Table2[[#This Row],[Unit Price]]*VLOOKUP(#REF!,Table_1[#All],2,FALSE),0)</f>
        <v>#REF!</v>
      </c>
      <c r="K520" s="7">
        <f>Table2[[#This Row],[Quantity]]*Table2[[#This Row],[Unit Price]]</f>
        <v>3367</v>
      </c>
      <c r="L520" s="7" t="e">
        <f>Table2[[#This Row],[Sales Revenue]]-Table2[[#This Row],[Total Cost After Product Percentage Calc]]</f>
        <v>#REF!</v>
      </c>
    </row>
    <row r="521" spans="1:12" ht="14.25" customHeight="1" x14ac:dyDescent="0.3">
      <c r="A521" s="1">
        <v>1</v>
      </c>
      <c r="B521" s="1">
        <v>420</v>
      </c>
      <c r="C521" s="1" t="s">
        <v>10</v>
      </c>
      <c r="D521" s="1" t="s">
        <v>21</v>
      </c>
      <c r="E521" s="1" t="s">
        <v>22</v>
      </c>
      <c r="F521" t="e">
        <f>TEXT(#REF!,"YYY")</f>
        <v>#REF!</v>
      </c>
      <c r="G521" t="e">
        <f>TEXT(#REF!,"MMM")</f>
        <v>#REF!</v>
      </c>
      <c r="H521" t="e">
        <f>TEXT(#REF!,"DDD")</f>
        <v>#REF!</v>
      </c>
      <c r="I521" t="e">
        <f>DATEDIF(#REF!,#REF!,"D")</f>
        <v>#REF!</v>
      </c>
      <c r="J521" s="7" t="e">
        <f>ROUND(Table2[[#This Row],[Quantity]]*Table2[[#This Row],[Unit Price]]*VLOOKUP(#REF!,Table_1[#All],2,FALSE),0)</f>
        <v>#REF!</v>
      </c>
      <c r="K521" s="7">
        <f>Table2[[#This Row],[Quantity]]*Table2[[#This Row],[Unit Price]]</f>
        <v>420</v>
      </c>
      <c r="L521" s="7" t="e">
        <f>Table2[[#This Row],[Sales Revenue]]-Table2[[#This Row],[Total Cost After Product Percentage Calc]]</f>
        <v>#REF!</v>
      </c>
    </row>
    <row r="522" spans="1:12" ht="14.25" customHeight="1" x14ac:dyDescent="0.3">
      <c r="A522" s="1">
        <v>1</v>
      </c>
      <c r="B522" s="1">
        <v>98</v>
      </c>
      <c r="C522" s="1" t="s">
        <v>20</v>
      </c>
      <c r="D522" s="1" t="s">
        <v>21</v>
      </c>
      <c r="E522" s="1" t="s">
        <v>30</v>
      </c>
      <c r="F522" t="e">
        <f>TEXT(#REF!,"YYY")</f>
        <v>#REF!</v>
      </c>
      <c r="G522" t="e">
        <f>TEXT(#REF!,"MMM")</f>
        <v>#REF!</v>
      </c>
      <c r="H522" t="e">
        <f>TEXT(#REF!,"DDD")</f>
        <v>#REF!</v>
      </c>
      <c r="I522" t="e">
        <f>DATEDIF(#REF!,#REF!,"D")</f>
        <v>#REF!</v>
      </c>
      <c r="J522" s="7" t="e">
        <f>ROUND(Table2[[#This Row],[Quantity]]*Table2[[#This Row],[Unit Price]]*VLOOKUP(#REF!,Table_1[#All],2,FALSE),0)</f>
        <v>#REF!</v>
      </c>
      <c r="K522" s="7">
        <f>Table2[[#This Row],[Quantity]]*Table2[[#This Row],[Unit Price]]</f>
        <v>98</v>
      </c>
      <c r="L522" s="7" t="e">
        <f>Table2[[#This Row],[Sales Revenue]]-Table2[[#This Row],[Total Cost After Product Percentage Calc]]</f>
        <v>#REF!</v>
      </c>
    </row>
    <row r="523" spans="1:12" ht="14.25" customHeight="1" x14ac:dyDescent="0.3">
      <c r="A523" s="1">
        <v>1</v>
      </c>
      <c r="B523" s="1">
        <v>444</v>
      </c>
      <c r="C523" s="1" t="s">
        <v>20</v>
      </c>
      <c r="D523" s="1" t="s">
        <v>21</v>
      </c>
      <c r="E523" s="1" t="s">
        <v>12</v>
      </c>
      <c r="F523" t="e">
        <f>TEXT(#REF!,"YYY")</f>
        <v>#REF!</v>
      </c>
      <c r="G523" t="e">
        <f>TEXT(#REF!,"MMM")</f>
        <v>#REF!</v>
      </c>
      <c r="H523" t="e">
        <f>TEXT(#REF!,"DDD")</f>
        <v>#REF!</v>
      </c>
      <c r="I523" t="e">
        <f>DATEDIF(#REF!,#REF!,"D")</f>
        <v>#REF!</v>
      </c>
      <c r="J523" s="7" t="e">
        <f>ROUND(Table2[[#This Row],[Quantity]]*Table2[[#This Row],[Unit Price]]*VLOOKUP(#REF!,Table_1[#All],2,FALSE),0)</f>
        <v>#REF!</v>
      </c>
      <c r="K523" s="7">
        <f>Table2[[#This Row],[Quantity]]*Table2[[#This Row],[Unit Price]]</f>
        <v>444</v>
      </c>
      <c r="L523" s="7" t="e">
        <f>Table2[[#This Row],[Sales Revenue]]-Table2[[#This Row],[Total Cost After Product Percentage Calc]]</f>
        <v>#REF!</v>
      </c>
    </row>
    <row r="524" spans="1:12" ht="14.25" customHeight="1" x14ac:dyDescent="0.3">
      <c r="A524" s="1">
        <v>5</v>
      </c>
      <c r="B524" s="1">
        <v>858</v>
      </c>
      <c r="C524" s="1" t="s">
        <v>10</v>
      </c>
      <c r="D524" s="1" t="s">
        <v>16</v>
      </c>
      <c r="E524" s="1" t="s">
        <v>30</v>
      </c>
      <c r="F524" t="e">
        <f>TEXT(#REF!,"YYY")</f>
        <v>#REF!</v>
      </c>
      <c r="G524" t="e">
        <f>TEXT(#REF!,"MMM")</f>
        <v>#REF!</v>
      </c>
      <c r="H524" t="e">
        <f>TEXT(#REF!,"DDD")</f>
        <v>#REF!</v>
      </c>
      <c r="I524" t="e">
        <f>DATEDIF(#REF!,#REF!,"D")</f>
        <v>#REF!</v>
      </c>
      <c r="J524" s="7" t="e">
        <f>ROUND(Table2[[#This Row],[Quantity]]*Table2[[#This Row],[Unit Price]]*VLOOKUP(#REF!,Table_1[#All],2,FALSE),0)</f>
        <v>#REF!</v>
      </c>
      <c r="K524" s="7">
        <f>Table2[[#This Row],[Quantity]]*Table2[[#This Row],[Unit Price]]</f>
        <v>4290</v>
      </c>
      <c r="L524" s="7" t="e">
        <f>Table2[[#This Row],[Sales Revenue]]-Table2[[#This Row],[Total Cost After Product Percentage Calc]]</f>
        <v>#REF!</v>
      </c>
    </row>
    <row r="525" spans="1:12" ht="14.25" customHeight="1" x14ac:dyDescent="0.3">
      <c r="A525" s="1">
        <v>6</v>
      </c>
      <c r="B525" s="1">
        <v>914</v>
      </c>
      <c r="C525" s="1" t="s">
        <v>10</v>
      </c>
      <c r="D525" s="1" t="s">
        <v>11</v>
      </c>
      <c r="E525" s="1" t="s">
        <v>30</v>
      </c>
      <c r="F525" t="e">
        <f>TEXT(#REF!,"YYY")</f>
        <v>#REF!</v>
      </c>
      <c r="G525" t="e">
        <f>TEXT(#REF!,"MMM")</f>
        <v>#REF!</v>
      </c>
      <c r="H525" t="e">
        <f>TEXT(#REF!,"DDD")</f>
        <v>#REF!</v>
      </c>
      <c r="I525" t="e">
        <f>DATEDIF(#REF!,#REF!,"D")</f>
        <v>#REF!</v>
      </c>
      <c r="J525" s="7" t="e">
        <f>ROUND(Table2[[#This Row],[Quantity]]*Table2[[#This Row],[Unit Price]]*VLOOKUP(#REF!,Table_1[#All],2,FALSE),0)</f>
        <v>#REF!</v>
      </c>
      <c r="K525" s="7">
        <f>Table2[[#This Row],[Quantity]]*Table2[[#This Row],[Unit Price]]</f>
        <v>5484</v>
      </c>
      <c r="L525" s="7" t="e">
        <f>Table2[[#This Row],[Sales Revenue]]-Table2[[#This Row],[Total Cost After Product Percentage Calc]]</f>
        <v>#REF!</v>
      </c>
    </row>
    <row r="526" spans="1:12" ht="14.25" customHeight="1" x14ac:dyDescent="0.3">
      <c r="A526" s="1">
        <v>5</v>
      </c>
      <c r="B526" s="1">
        <v>163</v>
      </c>
      <c r="C526" s="1" t="s">
        <v>20</v>
      </c>
      <c r="D526" s="1" t="s">
        <v>21</v>
      </c>
      <c r="E526" s="1" t="s">
        <v>12</v>
      </c>
      <c r="F526" t="e">
        <f>TEXT(#REF!,"YYY")</f>
        <v>#REF!</v>
      </c>
      <c r="G526" t="e">
        <f>TEXT(#REF!,"MMM")</f>
        <v>#REF!</v>
      </c>
      <c r="H526" t="e">
        <f>TEXT(#REF!,"DDD")</f>
        <v>#REF!</v>
      </c>
      <c r="I526" t="e">
        <f>DATEDIF(#REF!,#REF!,"D")</f>
        <v>#REF!</v>
      </c>
      <c r="J526" s="7" t="e">
        <f>ROUND(Table2[[#This Row],[Quantity]]*Table2[[#This Row],[Unit Price]]*VLOOKUP(#REF!,Table_1[#All],2,FALSE),0)</f>
        <v>#REF!</v>
      </c>
      <c r="K526" s="7">
        <f>Table2[[#This Row],[Quantity]]*Table2[[#This Row],[Unit Price]]</f>
        <v>815</v>
      </c>
      <c r="L526" s="7" t="e">
        <f>Table2[[#This Row],[Sales Revenue]]-Table2[[#This Row],[Total Cost After Product Percentage Calc]]</f>
        <v>#REF!</v>
      </c>
    </row>
    <row r="527" spans="1:12" ht="14.25" customHeight="1" x14ac:dyDescent="0.3">
      <c r="A527" s="1">
        <v>9</v>
      </c>
      <c r="B527" s="1">
        <v>811</v>
      </c>
      <c r="C527" s="1" t="s">
        <v>20</v>
      </c>
      <c r="D527" s="1" t="s">
        <v>11</v>
      </c>
      <c r="E527" s="1" t="s">
        <v>22</v>
      </c>
      <c r="F527" t="e">
        <f>TEXT(#REF!,"YYY")</f>
        <v>#REF!</v>
      </c>
      <c r="G527" t="e">
        <f>TEXT(#REF!,"MMM")</f>
        <v>#REF!</v>
      </c>
      <c r="H527" t="e">
        <f>TEXT(#REF!,"DDD")</f>
        <v>#REF!</v>
      </c>
      <c r="I527" t="e">
        <f>DATEDIF(#REF!,#REF!,"D")</f>
        <v>#REF!</v>
      </c>
      <c r="J527" s="7" t="e">
        <f>ROUND(Table2[[#This Row],[Quantity]]*Table2[[#This Row],[Unit Price]]*VLOOKUP(#REF!,Table_1[#All],2,FALSE),0)</f>
        <v>#REF!</v>
      </c>
      <c r="K527" s="7">
        <f>Table2[[#This Row],[Quantity]]*Table2[[#This Row],[Unit Price]]</f>
        <v>7299</v>
      </c>
      <c r="L527" s="7" t="e">
        <f>Table2[[#This Row],[Sales Revenue]]-Table2[[#This Row],[Total Cost After Product Percentage Calc]]</f>
        <v>#REF!</v>
      </c>
    </row>
    <row r="528" spans="1:12" ht="14.25" customHeight="1" x14ac:dyDescent="0.3">
      <c r="A528" s="1">
        <v>9</v>
      </c>
      <c r="B528" s="1">
        <v>828</v>
      </c>
      <c r="C528" s="1" t="s">
        <v>10</v>
      </c>
      <c r="D528" s="1" t="s">
        <v>16</v>
      </c>
      <c r="E528" s="1" t="s">
        <v>14</v>
      </c>
      <c r="F528" t="e">
        <f>TEXT(#REF!,"YYY")</f>
        <v>#REF!</v>
      </c>
      <c r="G528" t="e">
        <f>TEXT(#REF!,"MMM")</f>
        <v>#REF!</v>
      </c>
      <c r="H528" t="e">
        <f>TEXT(#REF!,"DDD")</f>
        <v>#REF!</v>
      </c>
      <c r="I528" t="e">
        <f>DATEDIF(#REF!,#REF!,"D")</f>
        <v>#REF!</v>
      </c>
      <c r="J528" s="7" t="e">
        <f>ROUND(Table2[[#This Row],[Quantity]]*Table2[[#This Row],[Unit Price]]*VLOOKUP(#REF!,Table_1[#All],2,FALSE),0)</f>
        <v>#REF!</v>
      </c>
      <c r="K528" s="7">
        <f>Table2[[#This Row],[Quantity]]*Table2[[#This Row],[Unit Price]]</f>
        <v>7452</v>
      </c>
      <c r="L528" s="7" t="e">
        <f>Table2[[#This Row],[Sales Revenue]]-Table2[[#This Row],[Total Cost After Product Percentage Calc]]</f>
        <v>#REF!</v>
      </c>
    </row>
    <row r="529" spans="1:12" ht="14.25" customHeight="1" x14ac:dyDescent="0.3">
      <c r="A529" s="1">
        <v>8</v>
      </c>
      <c r="B529" s="1">
        <v>745</v>
      </c>
      <c r="C529" s="1" t="s">
        <v>20</v>
      </c>
      <c r="D529" s="1" t="s">
        <v>24</v>
      </c>
      <c r="E529" s="1" t="s">
        <v>22</v>
      </c>
      <c r="F529" t="e">
        <f>TEXT(#REF!,"YYY")</f>
        <v>#REF!</v>
      </c>
      <c r="G529" t="e">
        <f>TEXT(#REF!,"MMM")</f>
        <v>#REF!</v>
      </c>
      <c r="H529" t="e">
        <f>TEXT(#REF!,"DDD")</f>
        <v>#REF!</v>
      </c>
      <c r="I529" t="e">
        <f>DATEDIF(#REF!,#REF!,"D")</f>
        <v>#REF!</v>
      </c>
      <c r="J529" s="7" t="e">
        <f>ROUND(Table2[[#This Row],[Quantity]]*Table2[[#This Row],[Unit Price]]*VLOOKUP(#REF!,Table_1[#All],2,FALSE),0)</f>
        <v>#REF!</v>
      </c>
      <c r="K529" s="7">
        <f>Table2[[#This Row],[Quantity]]*Table2[[#This Row],[Unit Price]]</f>
        <v>5960</v>
      </c>
      <c r="L529" s="7" t="e">
        <f>Table2[[#This Row],[Sales Revenue]]-Table2[[#This Row],[Total Cost After Product Percentage Calc]]</f>
        <v>#REF!</v>
      </c>
    </row>
    <row r="530" spans="1:12" ht="14.25" customHeight="1" x14ac:dyDescent="0.3">
      <c r="A530" s="1">
        <v>7</v>
      </c>
      <c r="B530" s="1">
        <v>238</v>
      </c>
      <c r="C530" s="1" t="s">
        <v>10</v>
      </c>
      <c r="D530" s="1" t="s">
        <v>21</v>
      </c>
      <c r="E530" s="1" t="s">
        <v>12</v>
      </c>
      <c r="F530" t="e">
        <f>TEXT(#REF!,"YYY")</f>
        <v>#REF!</v>
      </c>
      <c r="G530" t="e">
        <f>TEXT(#REF!,"MMM")</f>
        <v>#REF!</v>
      </c>
      <c r="H530" t="e">
        <f>TEXT(#REF!,"DDD")</f>
        <v>#REF!</v>
      </c>
      <c r="I530" t="e">
        <f>DATEDIF(#REF!,#REF!,"D")</f>
        <v>#REF!</v>
      </c>
      <c r="J530" s="7" t="e">
        <f>ROUND(Table2[[#This Row],[Quantity]]*Table2[[#This Row],[Unit Price]]*VLOOKUP(#REF!,Table_1[#All],2,FALSE),0)</f>
        <v>#REF!</v>
      </c>
      <c r="K530" s="7">
        <f>Table2[[#This Row],[Quantity]]*Table2[[#This Row],[Unit Price]]</f>
        <v>1666</v>
      </c>
      <c r="L530" s="7" t="e">
        <f>Table2[[#This Row],[Sales Revenue]]-Table2[[#This Row],[Total Cost After Product Percentage Calc]]</f>
        <v>#REF!</v>
      </c>
    </row>
    <row r="531" spans="1:12" ht="14.25" customHeight="1" x14ac:dyDescent="0.3">
      <c r="A531" s="1">
        <v>1</v>
      </c>
      <c r="B531" s="1">
        <v>159</v>
      </c>
      <c r="C531" s="1" t="s">
        <v>10</v>
      </c>
      <c r="D531" s="1" t="s">
        <v>21</v>
      </c>
      <c r="E531" s="1" t="s">
        <v>12</v>
      </c>
      <c r="F531" t="e">
        <f>TEXT(#REF!,"YYY")</f>
        <v>#REF!</v>
      </c>
      <c r="G531" t="e">
        <f>TEXT(#REF!,"MMM")</f>
        <v>#REF!</v>
      </c>
      <c r="H531" t="e">
        <f>TEXT(#REF!,"DDD")</f>
        <v>#REF!</v>
      </c>
      <c r="I531" t="e">
        <f>DATEDIF(#REF!,#REF!,"D")</f>
        <v>#REF!</v>
      </c>
      <c r="J531" s="7" t="e">
        <f>ROUND(Table2[[#This Row],[Quantity]]*Table2[[#This Row],[Unit Price]]*VLOOKUP(#REF!,Table_1[#All],2,FALSE),0)</f>
        <v>#REF!</v>
      </c>
      <c r="K531" s="7">
        <f>Table2[[#This Row],[Quantity]]*Table2[[#This Row],[Unit Price]]</f>
        <v>159</v>
      </c>
      <c r="L531" s="7" t="e">
        <f>Table2[[#This Row],[Sales Revenue]]-Table2[[#This Row],[Total Cost After Product Percentage Calc]]</f>
        <v>#REF!</v>
      </c>
    </row>
    <row r="532" spans="1:12" ht="14.25" customHeight="1" x14ac:dyDescent="0.3">
      <c r="A532" s="1">
        <v>10</v>
      </c>
      <c r="B532" s="1">
        <v>102</v>
      </c>
      <c r="C532" s="1" t="s">
        <v>20</v>
      </c>
      <c r="D532" s="1" t="s">
        <v>21</v>
      </c>
      <c r="E532" s="1" t="s">
        <v>22</v>
      </c>
      <c r="F532" t="e">
        <f>TEXT(#REF!,"YYY")</f>
        <v>#REF!</v>
      </c>
      <c r="G532" t="e">
        <f>TEXT(#REF!,"MMM")</f>
        <v>#REF!</v>
      </c>
      <c r="H532" t="e">
        <f>TEXT(#REF!,"DDD")</f>
        <v>#REF!</v>
      </c>
      <c r="I532" t="e">
        <f>DATEDIF(#REF!,#REF!,"D")</f>
        <v>#REF!</v>
      </c>
      <c r="J532" s="7" t="e">
        <f>ROUND(Table2[[#This Row],[Quantity]]*Table2[[#This Row],[Unit Price]]*VLOOKUP(#REF!,Table_1[#All],2,FALSE),0)</f>
        <v>#REF!</v>
      </c>
      <c r="K532" s="7">
        <f>Table2[[#This Row],[Quantity]]*Table2[[#This Row],[Unit Price]]</f>
        <v>1020</v>
      </c>
      <c r="L532" s="7" t="e">
        <f>Table2[[#This Row],[Sales Revenue]]-Table2[[#This Row],[Total Cost After Product Percentage Calc]]</f>
        <v>#REF!</v>
      </c>
    </row>
    <row r="533" spans="1:12" ht="14.25" customHeight="1" x14ac:dyDescent="0.3">
      <c r="A533" s="1">
        <v>2</v>
      </c>
      <c r="B533" s="1">
        <v>443</v>
      </c>
      <c r="C533" s="1" t="s">
        <v>10</v>
      </c>
      <c r="D533" s="1" t="s">
        <v>31</v>
      </c>
      <c r="E533" s="1" t="s">
        <v>30</v>
      </c>
      <c r="F533" t="e">
        <f>TEXT(#REF!,"YYY")</f>
        <v>#REF!</v>
      </c>
      <c r="G533" t="e">
        <f>TEXT(#REF!,"MMM")</f>
        <v>#REF!</v>
      </c>
      <c r="H533" t="e">
        <f>TEXT(#REF!,"DDD")</f>
        <v>#REF!</v>
      </c>
      <c r="I533" t="e">
        <f>DATEDIF(#REF!,#REF!,"D")</f>
        <v>#REF!</v>
      </c>
      <c r="J533" s="7" t="e">
        <f>ROUND(Table2[[#This Row],[Quantity]]*Table2[[#This Row],[Unit Price]]*VLOOKUP(#REF!,Table_1[#All],2,FALSE),0)</f>
        <v>#REF!</v>
      </c>
      <c r="K533" s="7">
        <f>Table2[[#This Row],[Quantity]]*Table2[[#This Row],[Unit Price]]</f>
        <v>886</v>
      </c>
      <c r="L533" s="7" t="e">
        <f>Table2[[#This Row],[Sales Revenue]]-Table2[[#This Row],[Total Cost After Product Percentage Calc]]</f>
        <v>#REF!</v>
      </c>
    </row>
    <row r="534" spans="1:12" ht="14.25" customHeight="1" x14ac:dyDescent="0.3">
      <c r="A534" s="1">
        <v>9</v>
      </c>
      <c r="B534" s="1">
        <v>10</v>
      </c>
      <c r="C534" s="1" t="s">
        <v>10</v>
      </c>
      <c r="D534" s="1" t="s">
        <v>11</v>
      </c>
      <c r="E534" s="1" t="s">
        <v>30</v>
      </c>
      <c r="F534" t="e">
        <f>TEXT(#REF!,"YYY")</f>
        <v>#REF!</v>
      </c>
      <c r="G534" t="e">
        <f>TEXT(#REF!,"MMM")</f>
        <v>#REF!</v>
      </c>
      <c r="H534" t="e">
        <f>TEXT(#REF!,"DDD")</f>
        <v>#REF!</v>
      </c>
      <c r="I534" t="e">
        <f>DATEDIF(#REF!,#REF!,"D")</f>
        <v>#REF!</v>
      </c>
      <c r="J534" s="7" t="e">
        <f>ROUND(Table2[[#This Row],[Quantity]]*Table2[[#This Row],[Unit Price]]*VLOOKUP(#REF!,Table_1[#All],2,FALSE),0)</f>
        <v>#REF!</v>
      </c>
      <c r="K534" s="7">
        <f>Table2[[#This Row],[Quantity]]*Table2[[#This Row],[Unit Price]]</f>
        <v>90</v>
      </c>
      <c r="L534" s="7" t="e">
        <f>Table2[[#This Row],[Sales Revenue]]-Table2[[#This Row],[Total Cost After Product Percentage Calc]]</f>
        <v>#REF!</v>
      </c>
    </row>
    <row r="535" spans="1:12" ht="14.25" customHeight="1" x14ac:dyDescent="0.3">
      <c r="A535" s="1">
        <v>5</v>
      </c>
      <c r="B535" s="1">
        <v>758</v>
      </c>
      <c r="C535" s="1" t="s">
        <v>20</v>
      </c>
      <c r="D535" s="1" t="s">
        <v>11</v>
      </c>
      <c r="E535" s="1" t="s">
        <v>14</v>
      </c>
      <c r="F535" t="e">
        <f>TEXT(#REF!,"YYY")</f>
        <v>#REF!</v>
      </c>
      <c r="G535" t="e">
        <f>TEXT(#REF!,"MMM")</f>
        <v>#REF!</v>
      </c>
      <c r="H535" t="e">
        <f>TEXT(#REF!,"DDD")</f>
        <v>#REF!</v>
      </c>
      <c r="I535" t="e">
        <f>DATEDIF(#REF!,#REF!,"D")</f>
        <v>#REF!</v>
      </c>
      <c r="J535" s="7" t="e">
        <f>ROUND(Table2[[#This Row],[Quantity]]*Table2[[#This Row],[Unit Price]]*VLOOKUP(#REF!,Table_1[#All],2,FALSE),0)</f>
        <v>#REF!</v>
      </c>
      <c r="K535" s="7">
        <f>Table2[[#This Row],[Quantity]]*Table2[[#This Row],[Unit Price]]</f>
        <v>3790</v>
      </c>
      <c r="L535" s="7" t="e">
        <f>Table2[[#This Row],[Sales Revenue]]-Table2[[#This Row],[Total Cost After Product Percentage Calc]]</f>
        <v>#REF!</v>
      </c>
    </row>
    <row r="536" spans="1:12" ht="14.25" customHeight="1" x14ac:dyDescent="0.3">
      <c r="A536" s="1">
        <v>10</v>
      </c>
      <c r="B536" s="1">
        <v>541</v>
      </c>
      <c r="C536" s="1" t="s">
        <v>10</v>
      </c>
      <c r="D536" s="1" t="s">
        <v>16</v>
      </c>
      <c r="E536" s="1" t="s">
        <v>12</v>
      </c>
      <c r="F536" t="e">
        <f>TEXT(#REF!,"YYY")</f>
        <v>#REF!</v>
      </c>
      <c r="G536" t="e">
        <f>TEXT(#REF!,"MMM")</f>
        <v>#REF!</v>
      </c>
      <c r="H536" t="e">
        <f>TEXT(#REF!,"DDD")</f>
        <v>#REF!</v>
      </c>
      <c r="I536" t="e">
        <f>DATEDIF(#REF!,#REF!,"D")</f>
        <v>#REF!</v>
      </c>
      <c r="J536" s="7" t="e">
        <f>ROUND(Table2[[#This Row],[Quantity]]*Table2[[#This Row],[Unit Price]]*VLOOKUP(#REF!,Table_1[#All],2,FALSE),0)</f>
        <v>#REF!</v>
      </c>
      <c r="K536" s="7">
        <f>Table2[[#This Row],[Quantity]]*Table2[[#This Row],[Unit Price]]</f>
        <v>5410</v>
      </c>
      <c r="L536" s="7" t="e">
        <f>Table2[[#This Row],[Sales Revenue]]-Table2[[#This Row],[Total Cost After Product Percentage Calc]]</f>
        <v>#REF!</v>
      </c>
    </row>
    <row r="537" spans="1:12" ht="14.25" customHeight="1" x14ac:dyDescent="0.3">
      <c r="A537" s="1">
        <v>1</v>
      </c>
      <c r="B537" s="1">
        <v>46</v>
      </c>
      <c r="C537" s="1" t="s">
        <v>10</v>
      </c>
      <c r="D537" s="1" t="s">
        <v>16</v>
      </c>
      <c r="E537" s="1" t="s">
        <v>22</v>
      </c>
      <c r="F537" t="e">
        <f>TEXT(#REF!,"YYY")</f>
        <v>#REF!</v>
      </c>
      <c r="G537" t="e">
        <f>TEXT(#REF!,"MMM")</f>
        <v>#REF!</v>
      </c>
      <c r="H537" t="e">
        <f>TEXT(#REF!,"DDD")</f>
        <v>#REF!</v>
      </c>
      <c r="I537" t="e">
        <f>DATEDIF(#REF!,#REF!,"D")</f>
        <v>#REF!</v>
      </c>
      <c r="J537" s="7" t="e">
        <f>ROUND(Table2[[#This Row],[Quantity]]*Table2[[#This Row],[Unit Price]]*VLOOKUP(#REF!,Table_1[#All],2,FALSE),0)</f>
        <v>#REF!</v>
      </c>
      <c r="K537" s="7">
        <f>Table2[[#This Row],[Quantity]]*Table2[[#This Row],[Unit Price]]</f>
        <v>46</v>
      </c>
      <c r="L537" s="7" t="e">
        <f>Table2[[#This Row],[Sales Revenue]]-Table2[[#This Row],[Total Cost After Product Percentage Calc]]</f>
        <v>#REF!</v>
      </c>
    </row>
    <row r="538" spans="1:12" ht="14.25" customHeight="1" x14ac:dyDescent="0.3">
      <c r="A538" s="1">
        <v>4</v>
      </c>
      <c r="B538" s="1">
        <v>82</v>
      </c>
      <c r="C538" s="1" t="s">
        <v>20</v>
      </c>
      <c r="D538" s="1" t="s">
        <v>21</v>
      </c>
      <c r="E538" s="1" t="s">
        <v>12</v>
      </c>
      <c r="F538" t="e">
        <f>TEXT(#REF!,"YYY")</f>
        <v>#REF!</v>
      </c>
      <c r="G538" t="e">
        <f>TEXT(#REF!,"MMM")</f>
        <v>#REF!</v>
      </c>
      <c r="H538" t="e">
        <f>TEXT(#REF!,"DDD")</f>
        <v>#REF!</v>
      </c>
      <c r="I538" t="e">
        <f>DATEDIF(#REF!,#REF!,"D")</f>
        <v>#REF!</v>
      </c>
      <c r="J538" s="7" t="e">
        <f>ROUND(Table2[[#This Row],[Quantity]]*Table2[[#This Row],[Unit Price]]*VLOOKUP(#REF!,Table_1[#All],2,FALSE),0)</f>
        <v>#REF!</v>
      </c>
      <c r="K538" s="7">
        <f>Table2[[#This Row],[Quantity]]*Table2[[#This Row],[Unit Price]]</f>
        <v>328</v>
      </c>
      <c r="L538" s="7" t="e">
        <f>Table2[[#This Row],[Sales Revenue]]-Table2[[#This Row],[Total Cost After Product Percentage Calc]]</f>
        <v>#REF!</v>
      </c>
    </row>
    <row r="539" spans="1:12" ht="14.25" customHeight="1" x14ac:dyDescent="0.3">
      <c r="A539" s="1">
        <v>9</v>
      </c>
      <c r="B539" s="1">
        <v>891</v>
      </c>
      <c r="C539" s="1" t="s">
        <v>20</v>
      </c>
      <c r="D539" s="1" t="s">
        <v>21</v>
      </c>
      <c r="E539" s="1" t="s">
        <v>22</v>
      </c>
      <c r="F539" t="e">
        <f>TEXT(#REF!,"YYY")</f>
        <v>#REF!</v>
      </c>
      <c r="G539" t="e">
        <f>TEXT(#REF!,"MMM")</f>
        <v>#REF!</v>
      </c>
      <c r="H539" t="e">
        <f>TEXT(#REF!,"DDD")</f>
        <v>#REF!</v>
      </c>
      <c r="I539" t="e">
        <f>DATEDIF(#REF!,#REF!,"D")</f>
        <v>#REF!</v>
      </c>
      <c r="J539" s="7" t="e">
        <f>ROUND(Table2[[#This Row],[Quantity]]*Table2[[#This Row],[Unit Price]]*VLOOKUP(#REF!,Table_1[#All],2,FALSE),0)</f>
        <v>#REF!</v>
      </c>
      <c r="K539" s="7">
        <f>Table2[[#This Row],[Quantity]]*Table2[[#This Row],[Unit Price]]</f>
        <v>8019</v>
      </c>
      <c r="L539" s="7" t="e">
        <f>Table2[[#This Row],[Sales Revenue]]-Table2[[#This Row],[Total Cost After Product Percentage Calc]]</f>
        <v>#REF!</v>
      </c>
    </row>
    <row r="540" spans="1:12" ht="14.25" customHeight="1" x14ac:dyDescent="0.3">
      <c r="A540" s="1">
        <v>4</v>
      </c>
      <c r="B540" s="1">
        <v>578</v>
      </c>
      <c r="C540" s="1" t="s">
        <v>10</v>
      </c>
      <c r="D540" s="1" t="s">
        <v>11</v>
      </c>
      <c r="E540" s="1" t="s">
        <v>30</v>
      </c>
      <c r="F540" t="e">
        <f>TEXT(#REF!,"YYY")</f>
        <v>#REF!</v>
      </c>
      <c r="G540" t="e">
        <f>TEXT(#REF!,"MMM")</f>
        <v>#REF!</v>
      </c>
      <c r="H540" t="e">
        <f>TEXT(#REF!,"DDD")</f>
        <v>#REF!</v>
      </c>
      <c r="I540" t="e">
        <f>DATEDIF(#REF!,#REF!,"D")</f>
        <v>#REF!</v>
      </c>
      <c r="J540" s="7" t="e">
        <f>ROUND(Table2[[#This Row],[Quantity]]*Table2[[#This Row],[Unit Price]]*VLOOKUP(#REF!,Table_1[#All],2,FALSE),0)</f>
        <v>#REF!</v>
      </c>
      <c r="K540" s="7">
        <f>Table2[[#This Row],[Quantity]]*Table2[[#This Row],[Unit Price]]</f>
        <v>2312</v>
      </c>
      <c r="L540" s="7" t="e">
        <f>Table2[[#This Row],[Sales Revenue]]-Table2[[#This Row],[Total Cost After Product Percentage Calc]]</f>
        <v>#REF!</v>
      </c>
    </row>
    <row r="541" spans="1:12" ht="14.25" customHeight="1" x14ac:dyDescent="0.3">
      <c r="A541" s="1">
        <v>4</v>
      </c>
      <c r="B541" s="1">
        <v>152</v>
      </c>
      <c r="C541" s="1" t="s">
        <v>20</v>
      </c>
      <c r="D541" s="1" t="s">
        <v>21</v>
      </c>
      <c r="E541" s="1" t="s">
        <v>30</v>
      </c>
      <c r="F541" t="e">
        <f>TEXT(#REF!,"YYY")</f>
        <v>#REF!</v>
      </c>
      <c r="G541" t="e">
        <f>TEXT(#REF!,"MMM")</f>
        <v>#REF!</v>
      </c>
      <c r="H541" t="e">
        <f>TEXT(#REF!,"DDD")</f>
        <v>#REF!</v>
      </c>
      <c r="I541" t="e">
        <f>DATEDIF(#REF!,#REF!,"D")</f>
        <v>#REF!</v>
      </c>
      <c r="J541" s="7" t="e">
        <f>ROUND(Table2[[#This Row],[Quantity]]*Table2[[#This Row],[Unit Price]]*VLOOKUP(#REF!,Table_1[#All],2,FALSE),0)</f>
        <v>#REF!</v>
      </c>
      <c r="K541" s="7">
        <f>Table2[[#This Row],[Quantity]]*Table2[[#This Row],[Unit Price]]</f>
        <v>608</v>
      </c>
      <c r="L541" s="7" t="e">
        <f>Table2[[#This Row],[Sales Revenue]]-Table2[[#This Row],[Total Cost After Product Percentage Calc]]</f>
        <v>#REF!</v>
      </c>
    </row>
    <row r="542" spans="1:12" ht="14.25" customHeight="1" x14ac:dyDescent="0.3">
      <c r="A542" s="1">
        <v>3</v>
      </c>
      <c r="B542" s="1">
        <v>288</v>
      </c>
      <c r="C542" s="1" t="s">
        <v>10</v>
      </c>
      <c r="D542" s="1" t="s">
        <v>11</v>
      </c>
      <c r="E542" s="1" t="s">
        <v>30</v>
      </c>
      <c r="F542" t="e">
        <f>TEXT(#REF!,"YYY")</f>
        <v>#REF!</v>
      </c>
      <c r="G542" t="e">
        <f>TEXT(#REF!,"MMM")</f>
        <v>#REF!</v>
      </c>
      <c r="H542" t="e">
        <f>TEXT(#REF!,"DDD")</f>
        <v>#REF!</v>
      </c>
      <c r="I542" t="e">
        <f>DATEDIF(#REF!,#REF!,"D")</f>
        <v>#REF!</v>
      </c>
      <c r="J542" s="7" t="e">
        <f>ROUND(Table2[[#This Row],[Quantity]]*Table2[[#This Row],[Unit Price]]*VLOOKUP(#REF!,Table_1[#All],2,FALSE),0)</f>
        <v>#REF!</v>
      </c>
      <c r="K542" s="7">
        <f>Table2[[#This Row],[Quantity]]*Table2[[#This Row],[Unit Price]]</f>
        <v>864</v>
      </c>
      <c r="L542" s="7" t="e">
        <f>Table2[[#This Row],[Sales Revenue]]-Table2[[#This Row],[Total Cost After Product Percentage Calc]]</f>
        <v>#REF!</v>
      </c>
    </row>
    <row r="543" spans="1:12" ht="14.25" customHeight="1" x14ac:dyDescent="0.3">
      <c r="A543" s="1">
        <v>1</v>
      </c>
      <c r="B543" s="1">
        <v>321</v>
      </c>
      <c r="C543" s="1" t="s">
        <v>10</v>
      </c>
      <c r="D543" s="1" t="s">
        <v>16</v>
      </c>
      <c r="E543" s="1" t="s">
        <v>12</v>
      </c>
      <c r="F543" t="e">
        <f>TEXT(#REF!,"YYY")</f>
        <v>#REF!</v>
      </c>
      <c r="G543" t="e">
        <f>TEXT(#REF!,"MMM")</f>
        <v>#REF!</v>
      </c>
      <c r="H543" t="e">
        <f>TEXT(#REF!,"DDD")</f>
        <v>#REF!</v>
      </c>
      <c r="I543" t="e">
        <f>DATEDIF(#REF!,#REF!,"D")</f>
        <v>#REF!</v>
      </c>
      <c r="J543" s="7" t="e">
        <f>ROUND(Table2[[#This Row],[Quantity]]*Table2[[#This Row],[Unit Price]]*VLOOKUP(#REF!,Table_1[#All],2,FALSE),0)</f>
        <v>#REF!</v>
      </c>
      <c r="K543" s="7">
        <f>Table2[[#This Row],[Quantity]]*Table2[[#This Row],[Unit Price]]</f>
        <v>321</v>
      </c>
      <c r="L543" s="7" t="e">
        <f>Table2[[#This Row],[Sales Revenue]]-Table2[[#This Row],[Total Cost After Product Percentage Calc]]</f>
        <v>#REF!</v>
      </c>
    </row>
    <row r="544" spans="1:12" ht="14.25" customHeight="1" x14ac:dyDescent="0.3">
      <c r="A544" s="1">
        <v>7</v>
      </c>
      <c r="B544" s="1">
        <v>356</v>
      </c>
      <c r="C544" s="1" t="s">
        <v>10</v>
      </c>
      <c r="D544" s="1" t="s">
        <v>16</v>
      </c>
      <c r="E544" s="1" t="s">
        <v>14</v>
      </c>
      <c r="F544" t="e">
        <f>TEXT(#REF!,"YYY")</f>
        <v>#REF!</v>
      </c>
      <c r="G544" t="e">
        <f>TEXT(#REF!,"MMM")</f>
        <v>#REF!</v>
      </c>
      <c r="H544" t="e">
        <f>TEXT(#REF!,"DDD")</f>
        <v>#REF!</v>
      </c>
      <c r="I544" t="e">
        <f>DATEDIF(#REF!,#REF!,"D")</f>
        <v>#REF!</v>
      </c>
      <c r="J544" s="7" t="e">
        <f>ROUND(Table2[[#This Row],[Quantity]]*Table2[[#This Row],[Unit Price]]*VLOOKUP(#REF!,Table_1[#All],2,FALSE),0)</f>
        <v>#REF!</v>
      </c>
      <c r="K544" s="7">
        <f>Table2[[#This Row],[Quantity]]*Table2[[#This Row],[Unit Price]]</f>
        <v>2492</v>
      </c>
      <c r="L544" s="7" t="e">
        <f>Table2[[#This Row],[Sales Revenue]]-Table2[[#This Row],[Total Cost After Product Percentage Calc]]</f>
        <v>#REF!</v>
      </c>
    </row>
    <row r="545" spans="1:12" ht="14.25" customHeight="1" x14ac:dyDescent="0.3">
      <c r="A545" s="1">
        <v>2</v>
      </c>
      <c r="B545" s="1">
        <v>944</v>
      </c>
      <c r="C545" s="1" t="s">
        <v>20</v>
      </c>
      <c r="D545" s="1" t="s">
        <v>21</v>
      </c>
      <c r="E545" s="1" t="s">
        <v>14</v>
      </c>
      <c r="F545" t="e">
        <f>TEXT(#REF!,"YYY")</f>
        <v>#REF!</v>
      </c>
      <c r="G545" t="e">
        <f>TEXT(#REF!,"MMM")</f>
        <v>#REF!</v>
      </c>
      <c r="H545" t="e">
        <f>TEXT(#REF!,"DDD")</f>
        <v>#REF!</v>
      </c>
      <c r="I545" t="e">
        <f>DATEDIF(#REF!,#REF!,"D")</f>
        <v>#REF!</v>
      </c>
      <c r="J545" s="7" t="e">
        <f>ROUND(Table2[[#This Row],[Quantity]]*Table2[[#This Row],[Unit Price]]*VLOOKUP(#REF!,Table_1[#All],2,FALSE),0)</f>
        <v>#REF!</v>
      </c>
      <c r="K545" s="7">
        <f>Table2[[#This Row],[Quantity]]*Table2[[#This Row],[Unit Price]]</f>
        <v>1888</v>
      </c>
      <c r="L545" s="7" t="e">
        <f>Table2[[#This Row],[Sales Revenue]]-Table2[[#This Row],[Total Cost After Product Percentage Calc]]</f>
        <v>#REF!</v>
      </c>
    </row>
    <row r="546" spans="1:12" ht="14.25" customHeight="1" x14ac:dyDescent="0.3">
      <c r="A546" s="1">
        <v>10</v>
      </c>
      <c r="B546" s="1">
        <v>172</v>
      </c>
      <c r="C546" s="1" t="s">
        <v>10</v>
      </c>
      <c r="D546" s="1" t="s">
        <v>24</v>
      </c>
      <c r="E546" s="1" t="s">
        <v>14</v>
      </c>
      <c r="F546" t="e">
        <f>TEXT(#REF!,"YYY")</f>
        <v>#REF!</v>
      </c>
      <c r="G546" t="e">
        <f>TEXT(#REF!,"MMM")</f>
        <v>#REF!</v>
      </c>
      <c r="H546" t="e">
        <f>TEXT(#REF!,"DDD")</f>
        <v>#REF!</v>
      </c>
      <c r="I546" t="e">
        <f>DATEDIF(#REF!,#REF!,"D")</f>
        <v>#REF!</v>
      </c>
      <c r="J546" s="7" t="e">
        <f>ROUND(Table2[[#This Row],[Quantity]]*Table2[[#This Row],[Unit Price]]*VLOOKUP(#REF!,Table_1[#All],2,FALSE),0)</f>
        <v>#REF!</v>
      </c>
      <c r="K546" s="7">
        <f>Table2[[#This Row],[Quantity]]*Table2[[#This Row],[Unit Price]]</f>
        <v>1720</v>
      </c>
      <c r="L546" s="7" t="e">
        <f>Table2[[#This Row],[Sales Revenue]]-Table2[[#This Row],[Total Cost After Product Percentage Calc]]</f>
        <v>#REF!</v>
      </c>
    </row>
    <row r="547" spans="1:12" ht="14.25" customHeight="1" x14ac:dyDescent="0.3">
      <c r="A547" s="1">
        <v>7</v>
      </c>
      <c r="B547" s="1">
        <v>70</v>
      </c>
      <c r="C547" s="1" t="s">
        <v>10</v>
      </c>
      <c r="D547" s="1" t="s">
        <v>31</v>
      </c>
      <c r="E547" s="1" t="s">
        <v>30</v>
      </c>
      <c r="F547" t="e">
        <f>TEXT(#REF!,"YYY")</f>
        <v>#REF!</v>
      </c>
      <c r="G547" t="e">
        <f>TEXT(#REF!,"MMM")</f>
        <v>#REF!</v>
      </c>
      <c r="H547" t="e">
        <f>TEXT(#REF!,"DDD")</f>
        <v>#REF!</v>
      </c>
      <c r="I547" t="e">
        <f>DATEDIF(#REF!,#REF!,"D")</f>
        <v>#REF!</v>
      </c>
      <c r="J547" s="7" t="e">
        <f>ROUND(Table2[[#This Row],[Quantity]]*Table2[[#This Row],[Unit Price]]*VLOOKUP(#REF!,Table_1[#All],2,FALSE),0)</f>
        <v>#REF!</v>
      </c>
      <c r="K547" s="7">
        <f>Table2[[#This Row],[Quantity]]*Table2[[#This Row],[Unit Price]]</f>
        <v>490</v>
      </c>
      <c r="L547" s="7" t="e">
        <f>Table2[[#This Row],[Sales Revenue]]-Table2[[#This Row],[Total Cost After Product Percentage Calc]]</f>
        <v>#REF!</v>
      </c>
    </row>
    <row r="548" spans="1:12" ht="14.25" customHeight="1" x14ac:dyDescent="0.3">
      <c r="A548" s="1">
        <v>2</v>
      </c>
      <c r="B548" s="1">
        <v>722</v>
      </c>
      <c r="C548" s="1" t="s">
        <v>10</v>
      </c>
      <c r="D548" s="1" t="s">
        <v>21</v>
      </c>
      <c r="E548" s="1" t="s">
        <v>30</v>
      </c>
      <c r="F548" t="e">
        <f>TEXT(#REF!,"YYY")</f>
        <v>#REF!</v>
      </c>
      <c r="G548" t="e">
        <f>TEXT(#REF!,"MMM")</f>
        <v>#REF!</v>
      </c>
      <c r="H548" t="e">
        <f>TEXT(#REF!,"DDD")</f>
        <v>#REF!</v>
      </c>
      <c r="I548" t="e">
        <f>DATEDIF(#REF!,#REF!,"D")</f>
        <v>#REF!</v>
      </c>
      <c r="J548" s="7" t="e">
        <f>ROUND(Table2[[#This Row],[Quantity]]*Table2[[#This Row],[Unit Price]]*VLOOKUP(#REF!,Table_1[#All],2,FALSE),0)</f>
        <v>#REF!</v>
      </c>
      <c r="K548" s="7">
        <f>Table2[[#This Row],[Quantity]]*Table2[[#This Row],[Unit Price]]</f>
        <v>1444</v>
      </c>
      <c r="L548" s="7" t="e">
        <f>Table2[[#This Row],[Sales Revenue]]-Table2[[#This Row],[Total Cost After Product Percentage Calc]]</f>
        <v>#REF!</v>
      </c>
    </row>
    <row r="549" spans="1:12" ht="14.25" customHeight="1" x14ac:dyDescent="0.3">
      <c r="A549" s="1">
        <v>2</v>
      </c>
      <c r="B549" s="1">
        <v>876</v>
      </c>
      <c r="C549" s="1" t="s">
        <v>20</v>
      </c>
      <c r="D549" s="1" t="s">
        <v>31</v>
      </c>
      <c r="E549" s="1" t="s">
        <v>12</v>
      </c>
      <c r="F549" t="e">
        <f>TEXT(#REF!,"YYY")</f>
        <v>#REF!</v>
      </c>
      <c r="G549" t="e">
        <f>TEXT(#REF!,"MMM")</f>
        <v>#REF!</v>
      </c>
      <c r="H549" t="e">
        <f>TEXT(#REF!,"DDD")</f>
        <v>#REF!</v>
      </c>
      <c r="I549" t="e">
        <f>DATEDIF(#REF!,#REF!,"D")</f>
        <v>#REF!</v>
      </c>
      <c r="J549" s="7" t="e">
        <f>ROUND(Table2[[#This Row],[Quantity]]*Table2[[#This Row],[Unit Price]]*VLOOKUP(#REF!,Table_1[#All],2,FALSE),0)</f>
        <v>#REF!</v>
      </c>
      <c r="K549" s="7">
        <f>Table2[[#This Row],[Quantity]]*Table2[[#This Row],[Unit Price]]</f>
        <v>1752</v>
      </c>
      <c r="L549" s="7" t="e">
        <f>Table2[[#This Row],[Sales Revenue]]-Table2[[#This Row],[Total Cost After Product Percentage Calc]]</f>
        <v>#REF!</v>
      </c>
    </row>
    <row r="550" spans="1:12" ht="14.25" customHeight="1" x14ac:dyDescent="0.3">
      <c r="A550" s="1">
        <v>8</v>
      </c>
      <c r="B550" s="1">
        <v>281</v>
      </c>
      <c r="C550" s="1" t="s">
        <v>10</v>
      </c>
      <c r="D550" s="1" t="s">
        <v>24</v>
      </c>
      <c r="E550" s="1" t="s">
        <v>22</v>
      </c>
      <c r="F550" t="e">
        <f>TEXT(#REF!,"YYY")</f>
        <v>#REF!</v>
      </c>
      <c r="G550" t="e">
        <f>TEXT(#REF!,"MMM")</f>
        <v>#REF!</v>
      </c>
      <c r="H550" t="e">
        <f>TEXT(#REF!,"DDD")</f>
        <v>#REF!</v>
      </c>
      <c r="I550" t="e">
        <f>DATEDIF(#REF!,#REF!,"D")</f>
        <v>#REF!</v>
      </c>
      <c r="J550" s="7" t="e">
        <f>ROUND(Table2[[#This Row],[Quantity]]*Table2[[#This Row],[Unit Price]]*VLOOKUP(#REF!,Table_1[#All],2,FALSE),0)</f>
        <v>#REF!</v>
      </c>
      <c r="K550" s="7">
        <f>Table2[[#This Row],[Quantity]]*Table2[[#This Row],[Unit Price]]</f>
        <v>2248</v>
      </c>
      <c r="L550" s="7" t="e">
        <f>Table2[[#This Row],[Sales Revenue]]-Table2[[#This Row],[Total Cost After Product Percentage Calc]]</f>
        <v>#REF!</v>
      </c>
    </row>
    <row r="551" spans="1:12" ht="14.25" customHeight="1" x14ac:dyDescent="0.3">
      <c r="A551" s="1">
        <v>7</v>
      </c>
      <c r="B551" s="1">
        <v>390</v>
      </c>
      <c r="C551" s="1" t="s">
        <v>20</v>
      </c>
      <c r="D551" s="1" t="s">
        <v>31</v>
      </c>
      <c r="E551" s="1" t="s">
        <v>30</v>
      </c>
      <c r="F551" t="e">
        <f>TEXT(#REF!,"YYY")</f>
        <v>#REF!</v>
      </c>
      <c r="G551" t="e">
        <f>TEXT(#REF!,"MMM")</f>
        <v>#REF!</v>
      </c>
      <c r="H551" t="e">
        <f>TEXT(#REF!,"DDD")</f>
        <v>#REF!</v>
      </c>
      <c r="I551" t="e">
        <f>DATEDIF(#REF!,#REF!,"D")</f>
        <v>#REF!</v>
      </c>
      <c r="J551" s="7" t="e">
        <f>ROUND(Table2[[#This Row],[Quantity]]*Table2[[#This Row],[Unit Price]]*VLOOKUP(#REF!,Table_1[#All],2,FALSE),0)</f>
        <v>#REF!</v>
      </c>
      <c r="K551" s="7">
        <f>Table2[[#This Row],[Quantity]]*Table2[[#This Row],[Unit Price]]</f>
        <v>2730</v>
      </c>
      <c r="L551" s="7" t="e">
        <f>Table2[[#This Row],[Sales Revenue]]-Table2[[#This Row],[Total Cost After Product Percentage Calc]]</f>
        <v>#REF!</v>
      </c>
    </row>
    <row r="552" spans="1:12" ht="14.25" customHeight="1" x14ac:dyDescent="0.3">
      <c r="A552" s="1">
        <v>5</v>
      </c>
      <c r="B552" s="1">
        <v>953</v>
      </c>
      <c r="C552" s="1" t="s">
        <v>10</v>
      </c>
      <c r="D552" s="1" t="s">
        <v>16</v>
      </c>
      <c r="E552" s="1" t="s">
        <v>22</v>
      </c>
      <c r="F552" t="e">
        <f>TEXT(#REF!,"YYY")</f>
        <v>#REF!</v>
      </c>
      <c r="G552" t="e">
        <f>TEXT(#REF!,"MMM")</f>
        <v>#REF!</v>
      </c>
      <c r="H552" t="e">
        <f>TEXT(#REF!,"DDD")</f>
        <v>#REF!</v>
      </c>
      <c r="I552" t="e">
        <f>DATEDIF(#REF!,#REF!,"D")</f>
        <v>#REF!</v>
      </c>
      <c r="J552" s="7" t="e">
        <f>ROUND(Table2[[#This Row],[Quantity]]*Table2[[#This Row],[Unit Price]]*VLOOKUP(#REF!,Table_1[#All],2,FALSE),0)</f>
        <v>#REF!</v>
      </c>
      <c r="K552" s="7">
        <f>Table2[[#This Row],[Quantity]]*Table2[[#This Row],[Unit Price]]</f>
        <v>4765</v>
      </c>
      <c r="L552" s="7" t="e">
        <f>Table2[[#This Row],[Sales Revenue]]-Table2[[#This Row],[Total Cost After Product Percentage Calc]]</f>
        <v>#REF!</v>
      </c>
    </row>
    <row r="553" spans="1:12" ht="14.25" customHeight="1" x14ac:dyDescent="0.3">
      <c r="A553" s="1">
        <v>6</v>
      </c>
      <c r="B553" s="1">
        <v>323</v>
      </c>
      <c r="C553" s="1" t="s">
        <v>20</v>
      </c>
      <c r="D553" s="1" t="s">
        <v>31</v>
      </c>
      <c r="E553" s="1" t="s">
        <v>12</v>
      </c>
      <c r="F553" t="e">
        <f>TEXT(#REF!,"YYY")</f>
        <v>#REF!</v>
      </c>
      <c r="G553" t="e">
        <f>TEXT(#REF!,"MMM")</f>
        <v>#REF!</v>
      </c>
      <c r="H553" t="e">
        <f>TEXT(#REF!,"DDD")</f>
        <v>#REF!</v>
      </c>
      <c r="I553" t="e">
        <f>DATEDIF(#REF!,#REF!,"D")</f>
        <v>#REF!</v>
      </c>
      <c r="J553" s="7" t="e">
        <f>ROUND(Table2[[#This Row],[Quantity]]*Table2[[#This Row],[Unit Price]]*VLOOKUP(#REF!,Table_1[#All],2,FALSE),0)</f>
        <v>#REF!</v>
      </c>
      <c r="K553" s="7">
        <f>Table2[[#This Row],[Quantity]]*Table2[[#This Row],[Unit Price]]</f>
        <v>1938</v>
      </c>
      <c r="L553" s="7" t="e">
        <f>Table2[[#This Row],[Sales Revenue]]-Table2[[#This Row],[Total Cost After Product Percentage Calc]]</f>
        <v>#REF!</v>
      </c>
    </row>
    <row r="554" spans="1:12" ht="14.25" customHeight="1" x14ac:dyDescent="0.3">
      <c r="A554" s="1">
        <v>3</v>
      </c>
      <c r="B554" s="1">
        <v>380</v>
      </c>
      <c r="C554" s="1" t="s">
        <v>10</v>
      </c>
      <c r="D554" s="1" t="s">
        <v>16</v>
      </c>
      <c r="E554" s="1" t="s">
        <v>30</v>
      </c>
      <c r="F554" t="e">
        <f>TEXT(#REF!,"YYY")</f>
        <v>#REF!</v>
      </c>
      <c r="G554" t="e">
        <f>TEXT(#REF!,"MMM")</f>
        <v>#REF!</v>
      </c>
      <c r="H554" t="e">
        <f>TEXT(#REF!,"DDD")</f>
        <v>#REF!</v>
      </c>
      <c r="I554" t="e">
        <f>DATEDIF(#REF!,#REF!,"D")</f>
        <v>#REF!</v>
      </c>
      <c r="J554" s="7" t="e">
        <f>ROUND(Table2[[#This Row],[Quantity]]*Table2[[#This Row],[Unit Price]]*VLOOKUP(#REF!,Table_1[#All],2,FALSE),0)</f>
        <v>#REF!</v>
      </c>
      <c r="K554" s="7">
        <f>Table2[[#This Row],[Quantity]]*Table2[[#This Row],[Unit Price]]</f>
        <v>1140</v>
      </c>
      <c r="L554" s="7" t="e">
        <f>Table2[[#This Row],[Sales Revenue]]-Table2[[#This Row],[Total Cost After Product Percentage Calc]]</f>
        <v>#REF!</v>
      </c>
    </row>
    <row r="555" spans="1:12" ht="14.25" customHeight="1" x14ac:dyDescent="0.3">
      <c r="A555" s="1">
        <v>10</v>
      </c>
      <c r="B555" s="1">
        <v>509</v>
      </c>
      <c r="C555" s="1" t="s">
        <v>20</v>
      </c>
      <c r="D555" s="1" t="s">
        <v>31</v>
      </c>
      <c r="E555" s="1" t="s">
        <v>12</v>
      </c>
      <c r="F555" t="e">
        <f>TEXT(#REF!,"YYY")</f>
        <v>#REF!</v>
      </c>
      <c r="G555" t="e">
        <f>TEXT(#REF!,"MMM")</f>
        <v>#REF!</v>
      </c>
      <c r="H555" t="e">
        <f>TEXT(#REF!,"DDD")</f>
        <v>#REF!</v>
      </c>
      <c r="I555" t="e">
        <f>DATEDIF(#REF!,#REF!,"D")</f>
        <v>#REF!</v>
      </c>
      <c r="J555" s="7" t="e">
        <f>ROUND(Table2[[#This Row],[Quantity]]*Table2[[#This Row],[Unit Price]]*VLOOKUP(#REF!,Table_1[#All],2,FALSE),0)</f>
        <v>#REF!</v>
      </c>
      <c r="K555" s="7">
        <f>Table2[[#This Row],[Quantity]]*Table2[[#This Row],[Unit Price]]</f>
        <v>5090</v>
      </c>
      <c r="L555" s="7" t="e">
        <f>Table2[[#This Row],[Sales Revenue]]-Table2[[#This Row],[Total Cost After Product Percentage Calc]]</f>
        <v>#REF!</v>
      </c>
    </row>
    <row r="556" spans="1:12" ht="14.25" customHeight="1" x14ac:dyDescent="0.3">
      <c r="A556" s="1">
        <v>1</v>
      </c>
      <c r="B556" s="1">
        <v>968</v>
      </c>
      <c r="C556" s="1" t="s">
        <v>10</v>
      </c>
      <c r="D556" s="1" t="s">
        <v>24</v>
      </c>
      <c r="E556" s="1" t="s">
        <v>22</v>
      </c>
      <c r="F556" t="e">
        <f>TEXT(#REF!,"YYY")</f>
        <v>#REF!</v>
      </c>
      <c r="G556" t="e">
        <f>TEXT(#REF!,"MMM")</f>
        <v>#REF!</v>
      </c>
      <c r="H556" t="e">
        <f>TEXT(#REF!,"DDD")</f>
        <v>#REF!</v>
      </c>
      <c r="I556" t="e">
        <f>DATEDIF(#REF!,#REF!,"D")</f>
        <v>#REF!</v>
      </c>
      <c r="J556" s="7" t="e">
        <f>ROUND(Table2[[#This Row],[Quantity]]*Table2[[#This Row],[Unit Price]]*VLOOKUP(#REF!,Table_1[#All],2,FALSE),0)</f>
        <v>#REF!</v>
      </c>
      <c r="K556" s="7">
        <f>Table2[[#This Row],[Quantity]]*Table2[[#This Row],[Unit Price]]</f>
        <v>968</v>
      </c>
      <c r="L556" s="7" t="e">
        <f>Table2[[#This Row],[Sales Revenue]]-Table2[[#This Row],[Total Cost After Product Percentage Calc]]</f>
        <v>#REF!</v>
      </c>
    </row>
    <row r="557" spans="1:12" ht="14.25" customHeight="1" x14ac:dyDescent="0.3">
      <c r="A557" s="55">
        <v>5</v>
      </c>
      <c r="B557" s="55">
        <v>5</v>
      </c>
      <c r="C557" s="55" t="s">
        <v>20</v>
      </c>
      <c r="D557" s="55" t="s">
        <v>101</v>
      </c>
      <c r="E557" s="55" t="s">
        <v>102</v>
      </c>
      <c r="F557" s="70" t="e">
        <f>TEXT(#REF!,"YYY")</f>
        <v>#REF!</v>
      </c>
      <c r="G557" s="70" t="e">
        <f>TEXT(#REF!,"MMM")</f>
        <v>#REF!</v>
      </c>
      <c r="H557" s="70" t="e">
        <f>TEXT(#REF!,"DDD")</f>
        <v>#REF!</v>
      </c>
      <c r="I557" s="70" t="e">
        <f>DATEDIF(#REF!,#REF!,"D")</f>
        <v>#REF!</v>
      </c>
      <c r="J557" s="70" t="e">
        <f>ROUND(Table2[[#This Row],[Quantity]]*Table2[[#This Row],[Unit Price]]*VLOOKUP(#REF!,Table_1[#All],2,FALSE),0)</f>
        <v>#REF!</v>
      </c>
      <c r="K557" s="70">
        <f>Table2[[#This Row],[Quantity]]*Table2[[#This Row],[Unit Price]]</f>
        <v>25</v>
      </c>
      <c r="L557" s="70" t="e">
        <f>Table2[[#This Row],[Sales Revenue]]-Table2[[#This Row],[Total Cost After Product Percentage Calc]]</f>
        <v>#REF!</v>
      </c>
    </row>
    <row r="558" spans="1:12" ht="14.25" customHeight="1" x14ac:dyDescent="0.3"/>
    <row r="559" spans="1:12" ht="14.25" customHeight="1" x14ac:dyDescent="0.3"/>
    <row r="560" spans="1:12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4F5C-A9C6-4AB1-B41C-088BA2A9B740}">
  <sheetPr codeName="Sheet5"/>
  <dimension ref="C2:L28"/>
  <sheetViews>
    <sheetView showGridLines="0" topLeftCell="B1" zoomScale="77" workbookViewId="0">
      <selection activeCell="C28" sqref="C28:L28"/>
    </sheetView>
  </sheetViews>
  <sheetFormatPr defaultRowHeight="14.4" x14ac:dyDescent="0.3"/>
  <cols>
    <col min="2" max="2" width="20.88671875" customWidth="1"/>
    <col min="3" max="3" width="20.109375" bestFit="1" customWidth="1"/>
    <col min="4" max="4" width="20.33203125" customWidth="1"/>
    <col min="5" max="5" width="20.109375" bestFit="1" customWidth="1"/>
    <col min="6" max="6" width="24.77734375" customWidth="1"/>
    <col min="7" max="7" width="20.5546875" customWidth="1"/>
    <col min="8" max="8" width="19.6640625" bestFit="1" customWidth="1"/>
    <col min="9" max="9" width="19.5546875" customWidth="1"/>
    <col min="10" max="10" width="18.44140625" customWidth="1"/>
    <col min="11" max="11" width="15.109375" bestFit="1" customWidth="1"/>
    <col min="12" max="12" width="20.77734375" bestFit="1" customWidth="1"/>
    <col min="13" max="13" width="19.6640625" bestFit="1" customWidth="1"/>
  </cols>
  <sheetData>
    <row r="2" spans="3:12" ht="23.4" x14ac:dyDescent="0.45">
      <c r="J2" s="54"/>
      <c r="K2" s="54"/>
      <c r="L2" s="54"/>
    </row>
    <row r="3" spans="3:12" ht="15" thickBot="1" x14ac:dyDescent="0.35"/>
    <row r="4" spans="3:12" x14ac:dyDescent="0.3">
      <c r="C4" s="63"/>
      <c r="D4" s="58" t="s">
        <v>99</v>
      </c>
      <c r="E4" s="58"/>
      <c r="F4" s="58"/>
      <c r="G4" s="58"/>
      <c r="H4" s="58"/>
      <c r="I4" s="58"/>
      <c r="J4" s="64"/>
    </row>
    <row r="5" spans="3:12" ht="23.4" x14ac:dyDescent="0.45">
      <c r="C5" s="17"/>
      <c r="D5" s="59"/>
      <c r="E5" s="59"/>
      <c r="F5" s="59"/>
      <c r="G5" s="59"/>
      <c r="H5" s="59"/>
      <c r="I5" s="59"/>
      <c r="J5" s="65"/>
      <c r="K5" s="54"/>
    </row>
    <row r="6" spans="3:12" x14ac:dyDescent="0.3">
      <c r="C6" s="17"/>
      <c r="D6" s="56"/>
      <c r="E6" s="56"/>
      <c r="F6" s="56"/>
      <c r="G6" s="56"/>
      <c r="H6" s="56"/>
      <c r="I6" s="56"/>
      <c r="J6" s="18"/>
    </row>
    <row r="7" spans="3:12" x14ac:dyDescent="0.3">
      <c r="C7" s="17"/>
      <c r="D7" s="56"/>
      <c r="E7" s="56"/>
      <c r="G7" s="56"/>
      <c r="H7" s="56"/>
      <c r="I7" s="56"/>
      <c r="J7" s="18"/>
    </row>
    <row r="8" spans="3:12" ht="18" x14ac:dyDescent="0.35">
      <c r="C8" s="17"/>
      <c r="D8" s="56"/>
      <c r="E8" s="60" t="s">
        <v>100</v>
      </c>
      <c r="F8" s="71" t="s">
        <v>103</v>
      </c>
      <c r="G8" s="56"/>
      <c r="H8" s="60" t="s">
        <v>4</v>
      </c>
      <c r="I8" s="67">
        <v>6</v>
      </c>
      <c r="J8" s="18"/>
    </row>
    <row r="9" spans="3:12" ht="18" x14ac:dyDescent="0.35">
      <c r="C9" s="17"/>
      <c r="D9" s="56"/>
      <c r="E9" s="61"/>
      <c r="F9" s="56"/>
      <c r="G9" s="56"/>
      <c r="H9" s="61"/>
      <c r="I9" s="56"/>
      <c r="J9" s="18"/>
    </row>
    <row r="10" spans="3:12" ht="18" x14ac:dyDescent="0.35">
      <c r="C10" s="17"/>
      <c r="D10" s="56"/>
      <c r="E10" s="60" t="s">
        <v>0</v>
      </c>
      <c r="F10" s="57" t="s">
        <v>17</v>
      </c>
      <c r="G10" s="56"/>
      <c r="H10" s="60" t="s">
        <v>5</v>
      </c>
      <c r="I10" s="67">
        <v>652</v>
      </c>
      <c r="J10" s="18"/>
    </row>
    <row r="11" spans="3:12" ht="18" x14ac:dyDescent="0.35">
      <c r="C11" s="17"/>
      <c r="D11" s="56"/>
      <c r="E11" s="61"/>
      <c r="F11" s="56"/>
      <c r="G11" s="56"/>
      <c r="H11" s="61"/>
      <c r="I11" s="56"/>
      <c r="J11" s="18"/>
    </row>
    <row r="12" spans="3:12" ht="18" x14ac:dyDescent="0.35">
      <c r="C12" s="17"/>
      <c r="D12" s="56"/>
      <c r="E12" s="60" t="s">
        <v>1</v>
      </c>
      <c r="F12" s="68" t="s">
        <v>28</v>
      </c>
      <c r="G12" s="56"/>
      <c r="H12" s="60" t="s">
        <v>6</v>
      </c>
      <c r="I12" s="57" t="s">
        <v>104</v>
      </c>
      <c r="J12" s="18"/>
    </row>
    <row r="13" spans="3:12" ht="18" x14ac:dyDescent="0.35">
      <c r="C13" s="17"/>
      <c r="D13" s="56"/>
      <c r="E13" s="61"/>
      <c r="F13" s="56"/>
      <c r="G13" s="56"/>
      <c r="H13" s="61"/>
      <c r="I13" s="56"/>
      <c r="J13" s="18"/>
    </row>
    <row r="14" spans="3:12" ht="18" x14ac:dyDescent="0.35">
      <c r="C14" s="17"/>
      <c r="D14" s="56"/>
      <c r="E14" s="62" t="s">
        <v>2</v>
      </c>
      <c r="F14" s="66">
        <v>44562</v>
      </c>
      <c r="G14" s="56"/>
      <c r="H14" s="60" t="s">
        <v>7</v>
      </c>
      <c r="I14" s="57" t="s">
        <v>105</v>
      </c>
      <c r="J14" s="18"/>
    </row>
    <row r="15" spans="3:12" ht="18" x14ac:dyDescent="0.35">
      <c r="C15" s="17"/>
      <c r="D15" s="56"/>
      <c r="E15" s="61"/>
      <c r="F15" s="56"/>
      <c r="G15" s="56"/>
      <c r="H15" s="61"/>
      <c r="I15" s="56"/>
      <c r="J15" s="18"/>
    </row>
    <row r="16" spans="3:12" ht="18" x14ac:dyDescent="0.35">
      <c r="C16" s="17"/>
      <c r="D16" s="56"/>
      <c r="E16" s="62" t="s">
        <v>3</v>
      </c>
      <c r="F16" s="66">
        <v>44621</v>
      </c>
      <c r="G16" s="56"/>
      <c r="H16" s="60" t="s">
        <v>8</v>
      </c>
      <c r="I16" s="57" t="s">
        <v>102</v>
      </c>
      <c r="J16" s="18"/>
    </row>
    <row r="17" spans="3:12" x14ac:dyDescent="0.3">
      <c r="C17" s="17"/>
      <c r="D17" s="56"/>
      <c r="E17" s="56"/>
      <c r="F17" s="56"/>
      <c r="G17" s="56"/>
      <c r="H17" s="56"/>
      <c r="I17" s="56"/>
      <c r="J17" s="18"/>
    </row>
    <row r="18" spans="3:12" x14ac:dyDescent="0.3">
      <c r="C18" s="17"/>
      <c r="D18" s="56"/>
      <c r="E18" s="56"/>
      <c r="F18" s="56"/>
      <c r="G18" s="56"/>
      <c r="H18" s="56"/>
      <c r="I18" s="56"/>
      <c r="J18" s="18"/>
    </row>
    <row r="19" spans="3:12" ht="15" thickBot="1" x14ac:dyDescent="0.35">
      <c r="C19" s="19"/>
      <c r="D19" s="3"/>
      <c r="E19" s="3"/>
      <c r="F19" s="3"/>
      <c r="G19" s="3"/>
      <c r="H19" s="3"/>
      <c r="I19" s="3"/>
      <c r="J19" s="20"/>
    </row>
    <row r="24" spans="3:12" ht="18" x14ac:dyDescent="0.35">
      <c r="C24" s="60" t="s">
        <v>100</v>
      </c>
      <c r="D24" s="60" t="s">
        <v>0</v>
      </c>
      <c r="E24" s="60" t="s">
        <v>1</v>
      </c>
      <c r="F24" s="62" t="s">
        <v>2</v>
      </c>
      <c r="G24" s="62" t="s">
        <v>3</v>
      </c>
      <c r="H24" s="60" t="s">
        <v>4</v>
      </c>
      <c r="I24" s="60" t="s">
        <v>5</v>
      </c>
      <c r="J24" s="60" t="s">
        <v>6</v>
      </c>
      <c r="K24" s="60" t="s">
        <v>7</v>
      </c>
      <c r="L24" s="60" t="s">
        <v>8</v>
      </c>
    </row>
    <row r="25" spans="3:12" x14ac:dyDescent="0.3">
      <c r="C25" t="e">
        <f>#REF!</f>
        <v>#REF!</v>
      </c>
      <c r="D25" t="str">
        <f>F10</f>
        <v>Groceries</v>
      </c>
      <c r="E25" t="str">
        <f>F12</f>
        <v>Curtains</v>
      </c>
      <c r="F25" s="2">
        <f>F14</f>
        <v>44562</v>
      </c>
      <c r="G25" s="2">
        <f>F16</f>
        <v>44621</v>
      </c>
      <c r="H25" s="69">
        <f>I8</f>
        <v>6</v>
      </c>
      <c r="I25" s="69">
        <f>I10</f>
        <v>652</v>
      </c>
      <c r="J25" t="str">
        <f>I12</f>
        <v xml:space="preserve">Completed </v>
      </c>
      <c r="K25" t="str">
        <f>I14</f>
        <v xml:space="preserve">United Kingdom </v>
      </c>
      <c r="L25" t="str">
        <f>I16</f>
        <v xml:space="preserve">Cash </v>
      </c>
    </row>
    <row r="28" spans="3:12" x14ac:dyDescent="0.3">
      <c r="C28" t="e">
        <v>#REF!</v>
      </c>
      <c r="D28" t="s">
        <v>17</v>
      </c>
      <c r="E28" t="s">
        <v>28</v>
      </c>
      <c r="F28" s="2">
        <v>44562</v>
      </c>
      <c r="G28" s="2">
        <v>44621</v>
      </c>
      <c r="H28">
        <v>6</v>
      </c>
      <c r="I28">
        <v>652</v>
      </c>
      <c r="J28" t="s">
        <v>104</v>
      </c>
      <c r="K28" t="s">
        <v>105</v>
      </c>
      <c r="L28" t="s">
        <v>102</v>
      </c>
    </row>
  </sheetData>
  <mergeCells count="1">
    <mergeCell ref="D4:I5"/>
  </mergeCells>
  <dataValidations count="5">
    <dataValidation type="list" allowBlank="1" showInputMessage="1" showErrorMessage="1" sqref="F10" xr:uid="{537A8257-6D95-4E87-951B-7091F81DDBDB}">
      <formula1>"Apparel, Books ,  Electronics ,  Groceries,  Home Decor "</formula1>
    </dataValidation>
    <dataValidation type="list" allowBlank="1" showInputMessage="1" showErrorMessage="1" sqref="F12" xr:uid="{1B4050D9-114A-434E-BA69-524934CB6B28}">
      <formula1>"Biography, Camera, Cereal, Children's Book, Cookbook, Curtains, Cushion, Dress, Fiction, Headphones, Jacket, Jeans, Juice, Laptop, Milk, Non-Fiction, Pasta, Rice, Smartphone, Sneakers, Table Lamp, Tablet, T-Shirt, Vase, Wall Art"</formula1>
    </dataValidation>
    <dataValidation type="list" allowBlank="1" showInputMessage="1" showErrorMessage="1" sqref="I12" xr:uid="{F5B3B86A-6A60-4171-B927-275C0E531986}">
      <formula1>"Completed , Returned"</formula1>
    </dataValidation>
    <dataValidation type="list" allowBlank="1" showInputMessage="1" showErrorMessage="1" sqref="I14" xr:uid="{9F4EF8A7-B459-4F18-AC6D-65B3D842E76F}">
      <formula1>"Antarctia , Australia , Brazil , China, Nigeria , United Kingdom , United States"</formula1>
    </dataValidation>
    <dataValidation type="list" allowBlank="1" showInputMessage="1" showErrorMessage="1" sqref="I16" xr:uid="{2CACBC65-5689-4EE6-AC61-49D44E243B30}">
      <formula1>"Bank Transfer , Cash , Credit Card , Mobile Money"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Button 3">
              <controlPr defaultSize="0" print="0" autoFill="0" autoPict="0" macro="[0]!Submit">
                <anchor moveWithCells="1" sizeWithCells="1">
                  <from>
                    <xdr:col>5</xdr:col>
                    <xdr:colOff>1379220</xdr:colOff>
                    <xdr:row>17</xdr:row>
                    <xdr:rowOff>22860</xdr:rowOff>
                  </from>
                  <to>
                    <xdr:col>6</xdr:col>
                    <xdr:colOff>1196340</xdr:colOff>
                    <xdr:row>18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Statics For Old</vt:lpstr>
      <vt:lpstr>Cost Per Unit</vt:lpstr>
      <vt:lpstr>Descriptive Statics For New</vt:lpstr>
      <vt:lpstr>Retail Store 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Vinod singh</cp:lastModifiedBy>
  <dcterms:created xsi:type="dcterms:W3CDTF">2025-12-23T16:55:45Z</dcterms:created>
  <dcterms:modified xsi:type="dcterms:W3CDTF">2025-12-24T06:03:42Z</dcterms:modified>
</cp:coreProperties>
</file>