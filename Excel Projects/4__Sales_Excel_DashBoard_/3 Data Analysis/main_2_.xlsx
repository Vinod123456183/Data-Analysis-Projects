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SUS\OneDrive\Desktop\ExCeL\XL\XL UTube Projects\drive-download-20251220T062110Z-3-001\3 Data Analysis\"/>
    </mc:Choice>
  </mc:AlternateContent>
  <xr:revisionPtr revIDLastSave="0" documentId="8_{E084662B-6C0D-402F-8C51-B4EAF46CC935}" xr6:coauthVersionLast="47" xr6:coauthVersionMax="47" xr10:uidLastSave="{00000000-0000-0000-0000-000000000000}"/>
  <bookViews>
    <workbookView xWindow="-108" yWindow="-108" windowWidth="23256" windowHeight="13176" activeTab="2" xr2:uid="{00000000-000D-0000-FFFF-FFFF00000000}"/>
  </bookViews>
  <sheets>
    <sheet name="Retail Store Sales" sheetId="1" r:id="rId1"/>
    <sheet name="Cost Per Unit" sheetId="2" r:id="rId2"/>
    <sheet name="Sheet1" sheetId="3" r:id="rId3"/>
  </sheets>
  <calcPr calcId="191029"/>
</workbook>
</file>

<file path=xl/calcChain.xml><?xml version="1.0" encoding="utf-8"?>
<calcChain xmlns="http://schemas.openxmlformats.org/spreadsheetml/2006/main">
  <c r="R2" i="1" l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Q2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</calcChain>
</file>

<file path=xl/sharedStrings.xml><?xml version="1.0" encoding="utf-8"?>
<sst xmlns="http://schemas.openxmlformats.org/spreadsheetml/2006/main" count="3491" uniqueCount="604">
  <si>
    <t>Order ID</t>
  </si>
  <si>
    <t>Customer Name</t>
  </si>
  <si>
    <t>Product Category</t>
  </si>
  <si>
    <t>Product Name</t>
  </si>
  <si>
    <t>Order Date</t>
  </si>
  <si>
    <t>Delivered Date</t>
  </si>
  <si>
    <t>Quantity</t>
  </si>
  <si>
    <t>Unit Price</t>
  </si>
  <si>
    <t>Status</t>
  </si>
  <si>
    <t>Country</t>
  </si>
  <si>
    <t>Payment Method</t>
  </si>
  <si>
    <t>Allison Hill</t>
  </si>
  <si>
    <t>Electronics</t>
  </si>
  <si>
    <t>Smartphone</t>
  </si>
  <si>
    <t>Completed</t>
  </si>
  <si>
    <t>Australia</t>
  </si>
  <si>
    <t>Mobile Money</t>
  </si>
  <si>
    <t>Lance Hoffman</t>
  </si>
  <si>
    <t>Books</t>
  </si>
  <si>
    <t>Fiction</t>
  </si>
  <si>
    <t>Credit Card</t>
  </si>
  <si>
    <t>Brent Abbott</t>
  </si>
  <si>
    <t>Apparel</t>
  </si>
  <si>
    <t>Sneakers</t>
  </si>
  <si>
    <t>United Kingdom</t>
  </si>
  <si>
    <t>Edward Fuller</t>
  </si>
  <si>
    <t>Groceries</t>
  </si>
  <si>
    <t>Cereal</t>
  </si>
  <si>
    <t>Melinda Jones</t>
  </si>
  <si>
    <t>Headphones</t>
  </si>
  <si>
    <t>Returned</t>
  </si>
  <si>
    <t>China</t>
  </si>
  <si>
    <t>Cash</t>
  </si>
  <si>
    <t>Andrew Stewart</t>
  </si>
  <si>
    <t>Home Decor</t>
  </si>
  <si>
    <t>Vase</t>
  </si>
  <si>
    <t>Nigeria</t>
  </si>
  <si>
    <t>Nicole Patterson</t>
  </si>
  <si>
    <t>Anthony Rodriguez</t>
  </si>
  <si>
    <t>Camera</t>
  </si>
  <si>
    <t>Shannon Smith</t>
  </si>
  <si>
    <t>Milk</t>
  </si>
  <si>
    <t>Pamela Romero</t>
  </si>
  <si>
    <t>T-Shirt</t>
  </si>
  <si>
    <t>Tammy Sellers</t>
  </si>
  <si>
    <t>Curtains</t>
  </si>
  <si>
    <t>Joseph Obrien</t>
  </si>
  <si>
    <t>Children's Book</t>
  </si>
  <si>
    <t>Austin Smith</t>
  </si>
  <si>
    <t>Bank Transfer</t>
  </si>
  <si>
    <t>David Caldwell</t>
  </si>
  <si>
    <t>Matthew Gomez</t>
  </si>
  <si>
    <t>United States</t>
  </si>
  <si>
    <t>Maria Brown</t>
  </si>
  <si>
    <t>Wall Art</t>
  </si>
  <si>
    <t>Clifford Ford</t>
  </si>
  <si>
    <t>Dress</t>
  </si>
  <si>
    <t>Tammy Allison</t>
  </si>
  <si>
    <t>Jeans</t>
  </si>
  <si>
    <t>Rachel Gibson</t>
  </si>
  <si>
    <t>Biography</t>
  </si>
  <si>
    <t>Lauren Daniels</t>
  </si>
  <si>
    <t>Laptop</t>
  </si>
  <si>
    <t>Amanda Miller</t>
  </si>
  <si>
    <t>Cookbook</t>
  </si>
  <si>
    <t>Michael Evans</t>
  </si>
  <si>
    <t>Angel Lewis MD</t>
  </si>
  <si>
    <t>Joshua Turner</t>
  </si>
  <si>
    <t>Non-Fiction</t>
  </si>
  <si>
    <t>Douglas Clark</t>
  </si>
  <si>
    <t>Kimberly Davenport</t>
  </si>
  <si>
    <t>Richard Rodriguez</t>
  </si>
  <si>
    <t>Matthew Ross</t>
  </si>
  <si>
    <t>Victoria Johnson</t>
  </si>
  <si>
    <t>Juice</t>
  </si>
  <si>
    <t>Stephanie Lee</t>
  </si>
  <si>
    <t>Benjamin Beck</t>
  </si>
  <si>
    <t>Stephanie Gilbert</t>
  </si>
  <si>
    <t>Jeffrey Carpenter</t>
  </si>
  <si>
    <t>Curtis Johnson</t>
  </si>
  <si>
    <t>Table Lamp</t>
  </si>
  <si>
    <t>Michael Snyder</t>
  </si>
  <si>
    <t>Melissa Marshall</t>
  </si>
  <si>
    <t>Cushion</t>
  </si>
  <si>
    <t>Michelle Wagner</t>
  </si>
  <si>
    <t>Sara Ramirez</t>
  </si>
  <si>
    <t>George Orozco</t>
  </si>
  <si>
    <t>Jacket</t>
  </si>
  <si>
    <t>Joshua Perry</t>
  </si>
  <si>
    <t>Aaron Bell</t>
  </si>
  <si>
    <t>Stephanie Freeman</t>
  </si>
  <si>
    <t>Rebecca Ramsey</t>
  </si>
  <si>
    <t>Mary Miller</t>
  </si>
  <si>
    <t>Andre Wright</t>
  </si>
  <si>
    <t>Jeffrey Wood</t>
  </si>
  <si>
    <t>Samuel Rivas</t>
  </si>
  <si>
    <t>Daniel Salinas</t>
  </si>
  <si>
    <t>Michael West</t>
  </si>
  <si>
    <t>Elizabeth Ward</t>
  </si>
  <si>
    <t>Kristen Terry</t>
  </si>
  <si>
    <t>Tablet</t>
  </si>
  <si>
    <t>David Grant</t>
  </si>
  <si>
    <t>Kevin Patterson</t>
  </si>
  <si>
    <t>Juan Moore</t>
  </si>
  <si>
    <t>Pasta</t>
  </si>
  <si>
    <t>Dwayne Campbell</t>
  </si>
  <si>
    <t>Samantha Morse</t>
  </si>
  <si>
    <t>Kathryn Snyder</t>
  </si>
  <si>
    <t>Alicia Hubbard</t>
  </si>
  <si>
    <t>Tanya Kim</t>
  </si>
  <si>
    <t>Bruce Collier</t>
  </si>
  <si>
    <t>Kimberly Gibson</t>
  </si>
  <si>
    <t>Reginald Williams</t>
  </si>
  <si>
    <t>Amanda Shaw</t>
  </si>
  <si>
    <t>Alexis Thomas</t>
  </si>
  <si>
    <t>Sarah Villarreal</t>
  </si>
  <si>
    <t>Cynthia Cohen</t>
  </si>
  <si>
    <t>Michele Garcia</t>
  </si>
  <si>
    <t>Joel King</t>
  </si>
  <si>
    <t>Rice</t>
  </si>
  <si>
    <t>Brooke Alexander</t>
  </si>
  <si>
    <t>Ann Phillips</t>
  </si>
  <si>
    <t>Richard Smith</t>
  </si>
  <si>
    <t>David Johnson</t>
  </si>
  <si>
    <t>Elizabeth Ortiz</t>
  </si>
  <si>
    <t>Teresa Ramirez</t>
  </si>
  <si>
    <t>Michael Stephens</t>
  </si>
  <si>
    <t>Kristen Willis</t>
  </si>
  <si>
    <t>Rebecca Rodriguez</t>
  </si>
  <si>
    <t>Jessica Rodriguez DDS</t>
  </si>
  <si>
    <t>Donald Schultz</t>
  </si>
  <si>
    <t>Emily Edwards</t>
  </si>
  <si>
    <t>Anna Davis</t>
  </si>
  <si>
    <t>Jordan Moore</t>
  </si>
  <si>
    <t>Phillip Andrews</t>
  </si>
  <si>
    <t>Christopher Park</t>
  </si>
  <si>
    <t>Andrea Figueroa</t>
  </si>
  <si>
    <t>Karla Ramos</t>
  </si>
  <si>
    <t>Michael Watkins</t>
  </si>
  <si>
    <t>Eric Clark</t>
  </si>
  <si>
    <t>Thomas Atkins</t>
  </si>
  <si>
    <t>Alex Nguyen</t>
  </si>
  <si>
    <t>Kelly Foster</t>
  </si>
  <si>
    <t>Kerry Lee</t>
  </si>
  <si>
    <t>Rebecca Vargas</t>
  </si>
  <si>
    <t>John Hernandez</t>
  </si>
  <si>
    <t>Katelyn Perez</t>
  </si>
  <si>
    <t>George Miranda</t>
  </si>
  <si>
    <t>Jackson Ball</t>
  </si>
  <si>
    <t>Vincent Mueller</t>
  </si>
  <si>
    <t>Tracy Montoya</t>
  </si>
  <si>
    <t>Phillip Nelson</t>
  </si>
  <si>
    <t>Jonathan Young</t>
  </si>
  <si>
    <t>Howard Norman</t>
  </si>
  <si>
    <t>Stephanie Hughes</t>
  </si>
  <si>
    <t>Samantha Gardner</t>
  </si>
  <si>
    <t>William Gould</t>
  </si>
  <si>
    <t>Laura Moreno</t>
  </si>
  <si>
    <t>Kathryn Hughes</t>
  </si>
  <si>
    <t>Benjamin Thompson</t>
  </si>
  <si>
    <t>Betty Shaw</t>
  </si>
  <si>
    <t>Todd Jacobson</t>
  </si>
  <si>
    <t>Martin Vargas</t>
  </si>
  <si>
    <t>Travis Wise</t>
  </si>
  <si>
    <t>Stephen Gardner</t>
  </si>
  <si>
    <t>Jesse Barker</t>
  </si>
  <si>
    <t>James Gilbert</t>
  </si>
  <si>
    <t>Shawn Jimenez</t>
  </si>
  <si>
    <t>Kyle Cameron</t>
  </si>
  <si>
    <t>Monica Gallagher</t>
  </si>
  <si>
    <t>Brent Brooks</t>
  </si>
  <si>
    <t>Brenda Velazquez</t>
  </si>
  <si>
    <t>Katie Hicks</t>
  </si>
  <si>
    <t>Veronica Silva</t>
  </si>
  <si>
    <t>Michelle Hampton</t>
  </si>
  <si>
    <t>Ashley Smith</t>
  </si>
  <si>
    <t>Gloria Gomez</t>
  </si>
  <si>
    <t>Courtney Dudley</t>
  </si>
  <si>
    <t>Timothy Pope</t>
  </si>
  <si>
    <t>Tina Ballard</t>
  </si>
  <si>
    <t>Anthony Stein</t>
  </si>
  <si>
    <t>Matthew Velez</t>
  </si>
  <si>
    <t>Alexandra Bradley</t>
  </si>
  <si>
    <t>Nicole Thompson</t>
  </si>
  <si>
    <t>Stacy Carrillo</t>
  </si>
  <si>
    <t>Justin Brown</t>
  </si>
  <si>
    <t>Steven Griffin Jr.</t>
  </si>
  <si>
    <t>Aaron Robinson</t>
  </si>
  <si>
    <t>Jason Mack</t>
  </si>
  <si>
    <t>Michael Stanley</t>
  </si>
  <si>
    <t>Julie Ball</t>
  </si>
  <si>
    <t>Donald Pineda</t>
  </si>
  <si>
    <t>Jill Powers</t>
  </si>
  <si>
    <t>Donna Cabrera</t>
  </si>
  <si>
    <t>Jason Hernandez</t>
  </si>
  <si>
    <t>Michael Shaffer</t>
  </si>
  <si>
    <t>Kristin Mendoza</t>
  </si>
  <si>
    <t>Jose Crawford</t>
  </si>
  <si>
    <t>Connie Thomas</t>
  </si>
  <si>
    <t>Robert Jackson</t>
  </si>
  <si>
    <t>Kelly Combs</t>
  </si>
  <si>
    <t>Antonio Little</t>
  </si>
  <si>
    <t>James Tran</t>
  </si>
  <si>
    <t>Tamara Hall</t>
  </si>
  <si>
    <t>Jennifer Ayala</t>
  </si>
  <si>
    <t>Kevin James</t>
  </si>
  <si>
    <t>Derrick Adams</t>
  </si>
  <si>
    <t>Michelle Simpson</t>
  </si>
  <si>
    <t>Scott Alexander</t>
  </si>
  <si>
    <t>Ernest Oconnell</t>
  </si>
  <si>
    <t>Randall Johnson</t>
  </si>
  <si>
    <t>Ryan Pope</t>
  </si>
  <si>
    <t>Jay Bennett</t>
  </si>
  <si>
    <t>Lonnie Hart</t>
  </si>
  <si>
    <t>Eric Patrick</t>
  </si>
  <si>
    <t>Rhonda Brown</t>
  </si>
  <si>
    <t>Emily Price</t>
  </si>
  <si>
    <t>Jill Jackson</t>
  </si>
  <si>
    <t>Ashley Wilson</t>
  </si>
  <si>
    <t>Ashley Greer PhD</t>
  </si>
  <si>
    <t>Charles Clark</t>
  </si>
  <si>
    <t>Brandi Thomas</t>
  </si>
  <si>
    <t>Mark Burton</t>
  </si>
  <si>
    <t>Paul Neal</t>
  </si>
  <si>
    <t>Raymond Oconnor</t>
  </si>
  <si>
    <t>Aaron Rubio</t>
  </si>
  <si>
    <t>Steven Martin</t>
  </si>
  <si>
    <t>Jennifer Anderson MD</t>
  </si>
  <si>
    <t>Emily Taylor</t>
  </si>
  <si>
    <t>Matthew Bowers</t>
  </si>
  <si>
    <t>Samantha Green</t>
  </si>
  <si>
    <t>Jesse Ward</t>
  </si>
  <si>
    <t>Tyler Johnson</t>
  </si>
  <si>
    <t>Patricia Collins</t>
  </si>
  <si>
    <t>Jacob Bonilla</t>
  </si>
  <si>
    <t>Anthony Shea DDS</t>
  </si>
  <si>
    <t>Kathy Walsh</t>
  </si>
  <si>
    <t>Cynthia Green</t>
  </si>
  <si>
    <t>Melissa Williams</t>
  </si>
  <si>
    <t>Anthony Evans</t>
  </si>
  <si>
    <t>Antonio Norman</t>
  </si>
  <si>
    <t>Kenneth Underwood</t>
  </si>
  <si>
    <t>Danielle Phillips</t>
  </si>
  <si>
    <t>Curtis Wilkerson</t>
  </si>
  <si>
    <t>Kathryn Price</t>
  </si>
  <si>
    <t>Kevin Hall</t>
  </si>
  <si>
    <t>Kristy Hart</t>
  </si>
  <si>
    <t>Joseph Smith</t>
  </si>
  <si>
    <t>Sarah Valencia</t>
  </si>
  <si>
    <t>Patricia Bradley</t>
  </si>
  <si>
    <t>William Jackson</t>
  </si>
  <si>
    <t>Michelle Williams</t>
  </si>
  <si>
    <t>Fernando Lynn</t>
  </si>
  <si>
    <t>Lisa Webb</t>
  </si>
  <si>
    <t>Jennifer Spencer</t>
  </si>
  <si>
    <t>Sara Hernandez</t>
  </si>
  <si>
    <t>Steven Baker</t>
  </si>
  <si>
    <t>Dennis Marshall</t>
  </si>
  <si>
    <t>Cynthia Evans</t>
  </si>
  <si>
    <t>Beth Henderson</t>
  </si>
  <si>
    <t>Thomas Sloan</t>
  </si>
  <si>
    <t>Kara Jackson</t>
  </si>
  <si>
    <t>Steve Rivera</t>
  </si>
  <si>
    <t>Caitlin Collins</t>
  </si>
  <si>
    <t>Corey Whitaker</t>
  </si>
  <si>
    <t>Madison Martinez</t>
  </si>
  <si>
    <t>Penny Lewis</t>
  </si>
  <si>
    <t>Carlos Thompson</t>
  </si>
  <si>
    <t>James Bailey</t>
  </si>
  <si>
    <t>Brian Hunt</t>
  </si>
  <si>
    <t>Sarah Pittman</t>
  </si>
  <si>
    <t>Courtney Walker</t>
  </si>
  <si>
    <t>Edward York</t>
  </si>
  <si>
    <t>Steve Mason</t>
  </si>
  <si>
    <t>Penny Anderson</t>
  </si>
  <si>
    <t>Joseph Cross</t>
  </si>
  <si>
    <t>Shawn Collins</t>
  </si>
  <si>
    <t>Joy Meyer</t>
  </si>
  <si>
    <t>Alex Wagner</t>
  </si>
  <si>
    <t>Martha Smith</t>
  </si>
  <si>
    <t>Matthew Bates</t>
  </si>
  <si>
    <t>Autumn Wilson</t>
  </si>
  <si>
    <t>Michael Meadows</t>
  </si>
  <si>
    <t>Sarah Ward</t>
  </si>
  <si>
    <t>Charles Holland</t>
  </si>
  <si>
    <t>Robert White</t>
  </si>
  <si>
    <t>Karen Fisher</t>
  </si>
  <si>
    <t>Jason Williams</t>
  </si>
  <si>
    <t>Vanessa Santiago</t>
  </si>
  <si>
    <t>Erica Rivera</t>
  </si>
  <si>
    <t>Alicia Powell</t>
  </si>
  <si>
    <t>Brian Prince</t>
  </si>
  <si>
    <t>Janice Petty</t>
  </si>
  <si>
    <t>Nicole Evans</t>
  </si>
  <si>
    <t>Anthony Adams</t>
  </si>
  <si>
    <t>Brazil</t>
  </si>
  <si>
    <t>Richard Jennings</t>
  </si>
  <si>
    <t>Douglas Baker</t>
  </si>
  <si>
    <t>Antarctica</t>
  </si>
  <si>
    <t>Michael Fox</t>
  </si>
  <si>
    <t>Lisa Oliver</t>
  </si>
  <si>
    <t>Bradley Davis</t>
  </si>
  <si>
    <t>Ronald Johns</t>
  </si>
  <si>
    <t>Alan Nunez</t>
  </si>
  <si>
    <t>Daniel Davenport</t>
  </si>
  <si>
    <t>Angel Powers</t>
  </si>
  <si>
    <t>Ian Frazier</t>
  </si>
  <si>
    <t>Matthew Miller</t>
  </si>
  <si>
    <t>Angela Jones</t>
  </si>
  <si>
    <t>Sarah Drake</t>
  </si>
  <si>
    <t>Sierra Williams</t>
  </si>
  <si>
    <t>Deborah Stephens</t>
  </si>
  <si>
    <t>Brenda Martin</t>
  </si>
  <si>
    <t>Gary Wilson</t>
  </si>
  <si>
    <t>Alison Williams</t>
  </si>
  <si>
    <t>Rebecca Hoover</t>
  </si>
  <si>
    <t>Joseph Blankenship</t>
  </si>
  <si>
    <t>Robert Velez</t>
  </si>
  <si>
    <t>Kimberly Scott</t>
  </si>
  <si>
    <t>Wendy Sanders</t>
  </si>
  <si>
    <t>Eric Cooper</t>
  </si>
  <si>
    <t>Jessica Harris</t>
  </si>
  <si>
    <t>Lisa Craig</t>
  </si>
  <si>
    <t>Penny Gomez MD</t>
  </si>
  <si>
    <t>Hannah Richmond</t>
  </si>
  <si>
    <t>Debbie Russell</t>
  </si>
  <si>
    <t>Judy Murray</t>
  </si>
  <si>
    <t>Jennifer Gomez</t>
  </si>
  <si>
    <t>Hayden Shannon</t>
  </si>
  <si>
    <t>Nicolas Salas II</t>
  </si>
  <si>
    <t>Katherine Joyce</t>
  </si>
  <si>
    <t>Alexandra Clark</t>
  </si>
  <si>
    <t>Jonathan Clark</t>
  </si>
  <si>
    <t>Adam Fisher</t>
  </si>
  <si>
    <t>Jason Bell</t>
  </si>
  <si>
    <t>Greg Edwards</t>
  </si>
  <si>
    <t>Mary Shepard</t>
  </si>
  <si>
    <t>Cameron Rose</t>
  </si>
  <si>
    <t>Kimberly Taylor</t>
  </si>
  <si>
    <t>Sarah Cooper</t>
  </si>
  <si>
    <t>Ralph Yates</t>
  </si>
  <si>
    <t>Connie Miller</t>
  </si>
  <si>
    <t>Jason Floyd</t>
  </si>
  <si>
    <t>Tiffany Brown</t>
  </si>
  <si>
    <t>Sandra Martinez</t>
  </si>
  <si>
    <t>Dawn Little</t>
  </si>
  <si>
    <t>Heather Taylor</t>
  </si>
  <si>
    <t>Gregory Oconnor</t>
  </si>
  <si>
    <t>Cynthia Le</t>
  </si>
  <si>
    <t>Douglas Ortiz</t>
  </si>
  <si>
    <t>Beverly Russo</t>
  </si>
  <si>
    <t>Amy Grant</t>
  </si>
  <si>
    <t>Maurice Andrade</t>
  </si>
  <si>
    <t>David Gardner</t>
  </si>
  <si>
    <t>Andrew Mitchell</t>
  </si>
  <si>
    <t>Rodney Norris</t>
  </si>
  <si>
    <t>Jacob Perkins</t>
  </si>
  <si>
    <t>Jessica Conrad</t>
  </si>
  <si>
    <t>Caitlin Henderson</t>
  </si>
  <si>
    <t>Victoria Wyatt</t>
  </si>
  <si>
    <t>Matthew Foster</t>
  </si>
  <si>
    <t>David Bradley</t>
  </si>
  <si>
    <t>Tyler Miller</t>
  </si>
  <si>
    <t>Taylor Mathis Jr.</t>
  </si>
  <si>
    <t>Candice Ramos</t>
  </si>
  <si>
    <t>Christine Wright</t>
  </si>
  <si>
    <t>Allison Doyle</t>
  </si>
  <si>
    <t>Meghan Anthony</t>
  </si>
  <si>
    <t>Jason Powell</t>
  </si>
  <si>
    <t>Rebecca Moyer</t>
  </si>
  <si>
    <t>Daniel Murphy</t>
  </si>
  <si>
    <t>Paul Williams</t>
  </si>
  <si>
    <t>Pamela Jackson</t>
  </si>
  <si>
    <t>Miguel Jones</t>
  </si>
  <si>
    <t>Jack Snow</t>
  </si>
  <si>
    <t>Robert Medina</t>
  </si>
  <si>
    <t>Cheryl Allen</t>
  </si>
  <si>
    <t>Joseph Coleman</t>
  </si>
  <si>
    <t>Nathan Stewart</t>
  </si>
  <si>
    <t>Scott Wilson</t>
  </si>
  <si>
    <t>Regina Gonzalez</t>
  </si>
  <si>
    <t>Sydney White</t>
  </si>
  <si>
    <t>Frank Garcia</t>
  </si>
  <si>
    <t>David Wilson</t>
  </si>
  <si>
    <t>Joseph Dean</t>
  </si>
  <si>
    <t>Emily Smith</t>
  </si>
  <si>
    <t>Kristen Reyes</t>
  </si>
  <si>
    <t>Diane Evans</t>
  </si>
  <si>
    <t>Joseph Knight</t>
  </si>
  <si>
    <t>Christina Cruz</t>
  </si>
  <si>
    <t>Michael Johnson</t>
  </si>
  <si>
    <t>Tanner Mitchell DDS</t>
  </si>
  <si>
    <t>Patricia Becker</t>
  </si>
  <si>
    <t>Susan Rivas</t>
  </si>
  <si>
    <t>Regina Mcdonald</t>
  </si>
  <si>
    <t>Jesse Santiago</t>
  </si>
  <si>
    <t>Samantha Davis</t>
  </si>
  <si>
    <t>Cameron Fisher</t>
  </si>
  <si>
    <t>Richard Camacho</t>
  </si>
  <si>
    <t>Larry Garcia</t>
  </si>
  <si>
    <t>Meagan Jenkins</t>
  </si>
  <si>
    <t>Paula Bradley</t>
  </si>
  <si>
    <t>Crystal Hansen</t>
  </si>
  <si>
    <t>Craig Morrison</t>
  </si>
  <si>
    <t>Sonia Day</t>
  </si>
  <si>
    <t>Dustin Newman</t>
  </si>
  <si>
    <t>Kelly Bishop MD</t>
  </si>
  <si>
    <t>Rachel Holland</t>
  </si>
  <si>
    <t>Felicia Aguilar</t>
  </si>
  <si>
    <t>Meagan Calderon</t>
  </si>
  <si>
    <t>Kaitlyn Guerra</t>
  </si>
  <si>
    <t>Ruben Dunn</t>
  </si>
  <si>
    <t>Jason Bauer</t>
  </si>
  <si>
    <t>Lynn Andrews</t>
  </si>
  <si>
    <t>Heather Ashley</t>
  </si>
  <si>
    <t>Haley Quinn</t>
  </si>
  <si>
    <t>Catherine Taylor</t>
  </si>
  <si>
    <t>Emily Collins</t>
  </si>
  <si>
    <t>Mitchell Jackson</t>
  </si>
  <si>
    <t>Jessica Martinez</t>
  </si>
  <si>
    <t>Michelle Pierce</t>
  </si>
  <si>
    <t>William Conner</t>
  </si>
  <si>
    <t>Ana Sanders</t>
  </si>
  <si>
    <t>Evan Jones</t>
  </si>
  <si>
    <t>Emma Travis</t>
  </si>
  <si>
    <t>Emma Owens</t>
  </si>
  <si>
    <t>Dylan Hughes</t>
  </si>
  <si>
    <t>Andrew Williams</t>
  </si>
  <si>
    <t>Reginald Knapp</t>
  </si>
  <si>
    <t>Mary Burgess</t>
  </si>
  <si>
    <t>Brooke Delgado</t>
  </si>
  <si>
    <t>Casey Gillespie</t>
  </si>
  <si>
    <t>Corey Rodriguez</t>
  </si>
  <si>
    <t>Cathy Taylor</t>
  </si>
  <si>
    <t>Tiffany Turner</t>
  </si>
  <si>
    <t>Michael Durham</t>
  </si>
  <si>
    <t>Donald Hawkins</t>
  </si>
  <si>
    <t>Sarah Davis</t>
  </si>
  <si>
    <t>Autumn Key</t>
  </si>
  <si>
    <t>Kristen Rowe</t>
  </si>
  <si>
    <t>Kelly Sanchez</t>
  </si>
  <si>
    <t>Alan Bowen</t>
  </si>
  <si>
    <t>Susan Rodriguez</t>
  </si>
  <si>
    <t>Tyler Stevens</t>
  </si>
  <si>
    <t>Amanda Mcfarland</t>
  </si>
  <si>
    <t>Tanya Evans</t>
  </si>
  <si>
    <t>Valerie Brown</t>
  </si>
  <si>
    <t>Richard Moore</t>
  </si>
  <si>
    <t>Philip Garcia</t>
  </si>
  <si>
    <t>Rachel Shields</t>
  </si>
  <si>
    <t>Douglas Hartman</t>
  </si>
  <si>
    <t>Sheila Barnes</t>
  </si>
  <si>
    <t>Daniel Burgess</t>
  </si>
  <si>
    <t>Thomas Miller</t>
  </si>
  <si>
    <t>Christopher Castro</t>
  </si>
  <si>
    <t>Jessica Johnson</t>
  </si>
  <si>
    <t>Michael Mcbride</t>
  </si>
  <si>
    <t>Jennifer Taylor</t>
  </si>
  <si>
    <t>Maria Cooke</t>
  </si>
  <si>
    <t>Kari Lee</t>
  </si>
  <si>
    <t>Xavier Rowe</t>
  </si>
  <si>
    <t>Tiffany Robertson</t>
  </si>
  <si>
    <t>Samantha Simpson</t>
  </si>
  <si>
    <t>Rachel Shannon</t>
  </si>
  <si>
    <t>Brandon Lewis</t>
  </si>
  <si>
    <t>Edwin Reyes</t>
  </si>
  <si>
    <t>Lisa Ramos</t>
  </si>
  <si>
    <t>Peggy Vaughn</t>
  </si>
  <si>
    <t>Bonnie Valencia</t>
  </si>
  <si>
    <t>Austin Baker</t>
  </si>
  <si>
    <t>James Davidson</t>
  </si>
  <si>
    <t>Kevin Hines</t>
  </si>
  <si>
    <t>Lee Parker</t>
  </si>
  <si>
    <t>Patricia Johnson</t>
  </si>
  <si>
    <t>Megan Wilson</t>
  </si>
  <si>
    <t>Roger Duncan</t>
  </si>
  <si>
    <t>April Sandoval</t>
  </si>
  <si>
    <t>Dillon Jones</t>
  </si>
  <si>
    <t>Bryan Howard</t>
  </si>
  <si>
    <t>Angela Osborn</t>
  </si>
  <si>
    <t>Daniel Lopez</t>
  </si>
  <si>
    <t>Vickie Price</t>
  </si>
  <si>
    <t>Morgan Kim</t>
  </si>
  <si>
    <t>Kevin Thompson</t>
  </si>
  <si>
    <t>Heather Bennett</t>
  </si>
  <si>
    <t>Karen Davis</t>
  </si>
  <si>
    <t>Leah Spencer</t>
  </si>
  <si>
    <t>Lisa Martinez</t>
  </si>
  <si>
    <t>Lisa Mills</t>
  </si>
  <si>
    <t>Traci Garcia</t>
  </si>
  <si>
    <t>Ryan Garrison</t>
  </si>
  <si>
    <t>Ann Alexander</t>
  </si>
  <si>
    <t>Hailey Monroe</t>
  </si>
  <si>
    <t>Donald Nguyen</t>
  </si>
  <si>
    <t>Cynthia Brown</t>
  </si>
  <si>
    <t>Jason Price</t>
  </si>
  <si>
    <t>William Orozco</t>
  </si>
  <si>
    <t>Christopher Walters</t>
  </si>
  <si>
    <t>Katherine Christensen MD</t>
  </si>
  <si>
    <t>Elizabeth Williams</t>
  </si>
  <si>
    <t>Ashley Scott</t>
  </si>
  <si>
    <t>Meghan White</t>
  </si>
  <si>
    <t>Michael Cruz</t>
  </si>
  <si>
    <t>David Stevens</t>
  </si>
  <si>
    <t>Heidi Brown</t>
  </si>
  <si>
    <t>Peter Walker</t>
  </si>
  <si>
    <t>Levi Lopez</t>
  </si>
  <si>
    <t>Peter Williams</t>
  </si>
  <si>
    <t>Jessica Richards</t>
  </si>
  <si>
    <t>Tammy Anderson</t>
  </si>
  <si>
    <t>Stephanie Ferguson</t>
  </si>
  <si>
    <t>Ashley Parrish</t>
  </si>
  <si>
    <t>Kimberly Morrison</t>
  </si>
  <si>
    <t>Timothy Gilbert</t>
  </si>
  <si>
    <t>Erin Carter</t>
  </si>
  <si>
    <t>Jaime Lang</t>
  </si>
  <si>
    <t>Amanda Jones</t>
  </si>
  <si>
    <t>Elizabeth Miller</t>
  </si>
  <si>
    <t>Joseph Taylor</t>
  </si>
  <si>
    <t>Traci Camacho</t>
  </si>
  <si>
    <t>Kenneth Long</t>
  </si>
  <si>
    <t>Michael Young</t>
  </si>
  <si>
    <t>Matthew Steele</t>
  </si>
  <si>
    <t>Reginald Diaz</t>
  </si>
  <si>
    <t>Amanda Juarez</t>
  </si>
  <si>
    <t>Courtney Sullivan</t>
  </si>
  <si>
    <t>Linda Elliott</t>
  </si>
  <si>
    <t>Sherry Schmidt</t>
  </si>
  <si>
    <t>Jacqueline Williams</t>
  </si>
  <si>
    <t>Brian Simmons</t>
  </si>
  <si>
    <t>Richard Avery</t>
  </si>
  <si>
    <t>Abigail Davis</t>
  </si>
  <si>
    <t>Andrew Cruz</t>
  </si>
  <si>
    <t>Laura Benson</t>
  </si>
  <si>
    <t>Pamela Weaver</t>
  </si>
  <si>
    <t>Robert Mendoza</t>
  </si>
  <si>
    <t>Veronica Parks</t>
  </si>
  <si>
    <t>Robert Woods</t>
  </si>
  <si>
    <t>Jane Mitchell</t>
  </si>
  <si>
    <t>Teresa Adkins</t>
  </si>
  <si>
    <t>Randy Warren</t>
  </si>
  <si>
    <t>Brandon Parker</t>
  </si>
  <si>
    <t>Mark Williamson</t>
  </si>
  <si>
    <t>Joseph Lopez</t>
  </si>
  <si>
    <t>Ray Boyd</t>
  </si>
  <si>
    <t>Donald Wilson</t>
  </si>
  <si>
    <t>Jonathan Parks</t>
  </si>
  <si>
    <t>Ashley Freeman</t>
  </si>
  <si>
    <t>Dawn Diaz</t>
  </si>
  <si>
    <t>Morgan Davenport</t>
  </si>
  <si>
    <t>Theresa Hansen</t>
  </si>
  <si>
    <t>Krista Shea</t>
  </si>
  <si>
    <t>Rebecca Thompson</t>
  </si>
  <si>
    <t>Cost Percentage</t>
  </si>
  <si>
    <t>Year</t>
  </si>
  <si>
    <t>Month</t>
  </si>
  <si>
    <t>Date</t>
  </si>
  <si>
    <t>Delivery Time</t>
  </si>
  <si>
    <t>Total Cost After Product Percentage Calc</t>
  </si>
  <si>
    <t>Net Profit</t>
  </si>
  <si>
    <t>Sales Revenue</t>
  </si>
  <si>
    <t>Descriptive Statics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</si>
  <si>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</si>
  <si>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</si>
  <si>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</si>
  <si>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</si>
  <si>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</si>
  <si>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</si>
  <si>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</si>
  <si>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</si>
  <si>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</si>
  <si>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</si>
  <si>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</si>
  <si>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</si>
  <si>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</si>
  <si>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T Test</t>
  </si>
  <si>
    <t>Scenerio</t>
  </si>
  <si>
    <t>Relation Between Delivery Time and Status (Completed || Returned)</t>
  </si>
  <si>
    <t>Null Hypothesis Ho</t>
  </si>
  <si>
    <t>Delivery Time Does not influencec whether order is returned</t>
  </si>
  <si>
    <t>In</t>
  </si>
  <si>
    <t>Alternate Hypothesis H1</t>
  </si>
  <si>
    <t>Interpretation / Insights</t>
  </si>
  <si>
    <t xml:space="preserve">Order With Longer delivery time are more likely to return </t>
  </si>
  <si>
    <t>Here P Val is 0.00000009 , alpha is greater</t>
  </si>
  <si>
    <t>1=)  P small = Reject Null hypothesis</t>
  </si>
  <si>
    <t>2=&gt; There is a Statiscal Significant Relation Between Delvery time and Order Status</t>
  </si>
  <si>
    <t>Completed Delivery</t>
  </si>
  <si>
    <t>Insights In Buisness Terms</t>
  </si>
  <si>
    <t xml:space="preserve">1=&gt; Order That End Up Being Returned Take an Average of 1.79(8.7415 - 6.9930) or 2 Days Longer To Deliver </t>
  </si>
  <si>
    <t>Recommendations</t>
  </si>
  <si>
    <t>1- Monitor Order That Are Taking more than 7 Days to deliver , as They have high chance to return</t>
  </si>
  <si>
    <t>2 - Set Up Alert For delayed deliveries To take prevented actions</t>
  </si>
  <si>
    <t>t-Test: Two-Sample Assuming Unequal Variances</t>
  </si>
  <si>
    <t>Variance</t>
  </si>
  <si>
    <t>Observations</t>
  </si>
  <si>
    <t>Hypothesized Mean Difference</t>
  </si>
  <si>
    <t>df</t>
  </si>
  <si>
    <t>t Stat</t>
  </si>
  <si>
    <t>P(T&lt;=t) one-tail</t>
  </si>
  <si>
    <t>t Critical one-tail</t>
  </si>
  <si>
    <t>P(T&lt;=t) two-tail</t>
  </si>
  <si>
    <t>Take Two Tail</t>
  </si>
  <si>
    <t>t Critical two-tail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</si>
</sst>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sz val="11"/>
      <color theme="3" tint="0.1499984740745262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2" fillId="0" borderId="0" xfId="0" applyFont="1"/>
    <xf numFmtId="14" fontId="2" fillId="0" borderId="0" xfId="0" applyNumberFormat="1" applyFont="1"/>
    <xf numFmtId="14" fontId="0" fillId="0" borderId="0" xfId="0" applyNumberFormat="1"/>
    <xf numFmtId="14" fontId="3" fillId="0" borderId="0" xfId="0" applyNumberFormat="1" applyFont="1"/>
    <xf numFmtId="0" fontId="0" fillId="0" borderId="1" xfId="0" applyBorder="1"/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right"/>
    </xf>
    <xf numFmtId="0" fontId="4" fillId="2" borderId="0" xfId="0" applyFont="1" applyFill="1"/>
    <xf numFmtId="14" fontId="4" fillId="2" borderId="0" xfId="0" applyNumberFormat="1" applyFont="1" applyFill="1"/>
    <xf numFmtId="0" fontId="1" fillId="0" borderId="0" xfId="0" applyFont="1"/>
    <xf numFmtId="0" fontId="6" fillId="0" borderId="0" xfId="0" applyFont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0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0" xfId="0" applyFont="1"/>
    <xf numFmtId="0" fontId="5" fillId="0" borderId="3" xfId="0" applyFont="1" applyBorder="1"/>
    <xf numFmtId="0" fontId="5" fillId="0" borderId="4" xfId="0" applyFont="1" applyBorder="1"/>
    <xf numFmtId="0" fontId="5" fillId="0" borderId="5" xfId="0" applyFont="1" applyBorder="1"/>
    <xf numFmtId="0" fontId="5" fillId="0" borderId="6" xfId="0" applyFont="1" applyBorder="1"/>
    <xf numFmtId="0" fontId="5" fillId="0" borderId="0" xfId="0" applyFont="1" applyBorder="1"/>
    <xf numFmtId="0" fontId="5" fillId="0" borderId="7" xfId="0" applyFont="1" applyBorder="1"/>
    <xf numFmtId="11" fontId="5" fillId="0" borderId="0" xfId="0" applyNumberFormat="1" applyFont="1" applyBorder="1"/>
    <xf numFmtId="0" fontId="5" fillId="0" borderId="8" xfId="0" applyFont="1" applyBorder="1"/>
    <xf numFmtId="0" fontId="5" fillId="0" borderId="1" xfId="0" applyFont="1" applyBorder="1"/>
    <xf numFmtId="0" fontId="5" fillId="0" borderId="9" xfId="0" applyFont="1" applyBorder="1"/>
  </cellXfs>
  <cellStyles count="1">
    <cellStyle name="Normal" xfId="0" builtinId="0"/>
  </cellStyles>
  <dxfs count="25"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3" tint="0.14999847407452621"/>
        <name val="Calibri"/>
        <scheme val="minor"/>
      </font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Cost Per Unit-style" pivot="0" count="3" xr9:uid="{00000000-0011-0000-FFFF-FFFF00000000}">
      <tableStyleElement type="headerRow" dxfId="24"/>
      <tableStyleElement type="firstRowStripe" dxfId="23"/>
      <tableStyleElement type="secondRowStripe" dxfId="2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887F10E-4AD9-4D72-B67C-6217A0192603}" name="Table2" displayName="Table2" ref="A1:R556" totalsRowShown="0" headerRowDxfId="21" dataDxfId="20">
  <autoFilter ref="A1:R556" xr:uid="{8887F10E-4AD9-4D72-B67C-6217A0192603}"/>
  <tableColumns count="18">
    <tableColumn id="1" xr3:uid="{2EC7B9D3-CFF4-49DD-84D5-E41415AB63CB}" name="Order ID" dataDxfId="19"/>
    <tableColumn id="2" xr3:uid="{2943E279-7370-4145-B995-5235844DF179}" name="Customer Name" dataDxfId="18"/>
    <tableColumn id="3" xr3:uid="{64456C20-C361-438A-9859-366D4183A32C}" name="Product Category" dataDxfId="17"/>
    <tableColumn id="4" xr3:uid="{B6C30904-5C78-4F78-95C1-43140CEAB7C8}" name="Product Name" dataDxfId="16"/>
    <tableColumn id="5" xr3:uid="{0640F4F4-BF6A-490C-813E-AC8F3AB0C9BF}" name="Order Date" dataDxfId="15"/>
    <tableColumn id="6" xr3:uid="{7BABDEEA-9482-43FB-8E55-85E464A2BFD0}" name="Delivered Date" dataDxfId="14"/>
    <tableColumn id="7" xr3:uid="{97779C11-F6F1-4F87-B9D9-2F1F870A0D4C}" name="Quantity" dataDxfId="13"/>
    <tableColumn id="8" xr3:uid="{F35FF9E0-61D3-4F9C-9304-B90512C0310A}" name="Unit Price" dataDxfId="12"/>
    <tableColumn id="9" xr3:uid="{72535FB8-52FC-4D2B-8688-D2CD854EE38B}" name="Status" dataDxfId="11"/>
    <tableColumn id="10" xr3:uid="{2A10BDCC-37E6-4A1D-A0A8-569C87B726D2}" name="Country" dataDxfId="10"/>
    <tableColumn id="11" xr3:uid="{4140BFFC-1868-4A2A-81A0-3A32871FC606}" name="Payment Method" dataDxfId="9"/>
    <tableColumn id="12" xr3:uid="{9802BBE3-C7E8-45DB-8E93-EC17CF100C40}" name="Year" dataDxfId="8">
      <calculatedColumnFormula>TEXT(Table2[[#This Row],[Order Date]],"YYY")</calculatedColumnFormula>
    </tableColumn>
    <tableColumn id="13" xr3:uid="{7540B39B-DFA5-4C15-93BD-2C81FEF70221}" name="Month" dataDxfId="7">
      <calculatedColumnFormula>TEXT(Table2[[#This Row],[Order Date]],"MMM")</calculatedColumnFormula>
    </tableColumn>
    <tableColumn id="14" xr3:uid="{17806542-68DA-4A8F-AD6E-A66E637E36EF}" name="Date" dataDxfId="6">
      <calculatedColumnFormula>TEXT(Table2[[#This Row],[Order Date]],"DDD")</calculatedColumnFormula>
    </tableColumn>
    <tableColumn id="15" xr3:uid="{F93DC354-8E0E-42E2-9701-7F901D968F72}" name="Delivery Time" dataDxfId="5">
      <calculatedColumnFormula>DATEDIF(Table2[[#This Row],[Order Date]],Table2[[#This Row],[Delivered Date]],"D")</calculatedColumnFormula>
    </tableColumn>
    <tableColumn id="16" xr3:uid="{AE8FEF05-71D1-4D72-A3A6-08E8EC0EB372}" name="Total Cost After Product Percentage Calc" dataDxfId="4">
      <calculatedColumnFormula>ROUND(Table2[[#This Row],[Quantity]]*Table2[[#This Row],[Unit Price]]*VLOOKUP(Table2[[#This Row],[Product Name]],Table_1[#All],2,FALSE),0)</calculatedColumnFormula>
    </tableColumn>
    <tableColumn id="17" xr3:uid="{2A19EDED-1FC0-401E-B68C-D9B09D1ED52B}" name="Sales Revenue" dataDxfId="3">
      <calculatedColumnFormula>Table2[[#This Row],[Quantity]]*Table2[[#This Row],[Unit Price]]</calculatedColumnFormula>
    </tableColumn>
    <tableColumn id="18" xr3:uid="{5E5BAF22-FB25-45EC-AB38-791BD0D5D790}" name="Net Profit" dataDxfId="2">
      <calculatedColumnFormula>Table2[[#This Row],[Sales Revenue]]-Table2[[#This Row],[Total Cost After Product Percentage Calc]]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B26">
  <tableColumns count="2">
    <tableColumn id="1" xr3:uid="{00000000-0010-0000-0000-000001000000}" name="Product Name"/>
    <tableColumn id="2" xr3:uid="{00000000-0010-0000-0000-000002000000}" name="Cost Percentage"/>
  </tableColumns>
  <tableStyleInfo name="Cost Per Unit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99"/>
  <sheetViews>
    <sheetView topLeftCell="G1" workbookViewId="0">
      <selection activeCell="R3" sqref="R3"/>
    </sheetView>
  </sheetViews>
  <sheetFormatPr defaultColWidth="14.44140625" defaultRowHeight="15" customHeight="1" x14ac:dyDescent="0.3"/>
  <cols>
    <col min="1" max="1" width="10.109375" bestFit="1" customWidth="1"/>
    <col min="2" max="2" width="22.33203125" bestFit="1" customWidth="1"/>
    <col min="3" max="3" width="17.44140625" bestFit="1" customWidth="1"/>
    <col min="4" max="4" width="14.88671875" bestFit="1" customWidth="1"/>
    <col min="5" max="5" width="12.21875" style="3" bestFit="1" customWidth="1"/>
    <col min="6" max="6" width="16.77734375" style="3" bestFit="1" customWidth="1"/>
    <col min="7" max="7" width="10.21875" bestFit="1" customWidth="1"/>
    <col min="8" max="8" width="11.109375" bestFit="1" customWidth="1"/>
    <col min="9" max="9" width="9.88671875" bestFit="1" customWidth="1"/>
    <col min="10" max="10" width="14" bestFit="1" customWidth="1"/>
    <col min="11" max="11" width="17.33203125" bestFit="1" customWidth="1"/>
    <col min="12" max="12" width="19.5546875" customWidth="1"/>
    <col min="13" max="13" width="8.6640625" customWidth="1"/>
    <col min="14" max="14" width="16.5546875" bestFit="1" customWidth="1"/>
    <col min="15" max="15" width="14.21875" bestFit="1" customWidth="1"/>
    <col min="16" max="16" width="37" bestFit="1" customWidth="1"/>
    <col min="17" max="17" width="16" customWidth="1"/>
    <col min="18" max="18" width="21.77734375" customWidth="1"/>
    <col min="19" max="26" width="8.6640625" customWidth="1"/>
  </cols>
  <sheetData>
    <row r="1" spans="1:18" ht="14.25" customHeight="1" x14ac:dyDescent="0.3">
      <c r="A1" s="8" t="s">
        <v>0</v>
      </c>
      <c r="B1" s="8" t="s">
        <v>1</v>
      </c>
      <c r="C1" s="8" t="s">
        <v>2</v>
      </c>
      <c r="D1" s="8" t="s">
        <v>3</v>
      </c>
      <c r="E1" s="9" t="s">
        <v>4</v>
      </c>
      <c r="F1" s="9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554</v>
      </c>
      <c r="M1" s="8" t="s">
        <v>555</v>
      </c>
      <c r="N1" s="8" t="s">
        <v>556</v>
      </c>
      <c r="O1" s="8" t="s">
        <v>557</v>
      </c>
      <c r="P1" s="8" t="s">
        <v>558</v>
      </c>
      <c r="Q1" s="8" t="s">
        <v>560</v>
      </c>
      <c r="R1" s="8" t="s">
        <v>559</v>
      </c>
    </row>
    <row r="2" spans="1:18" ht="14.25" customHeight="1" x14ac:dyDescent="0.3">
      <c r="A2" s="1">
        <v>1</v>
      </c>
      <c r="B2" s="1" t="s">
        <v>11</v>
      </c>
      <c r="C2" s="1" t="s">
        <v>12</v>
      </c>
      <c r="D2" s="1" t="s">
        <v>13</v>
      </c>
      <c r="E2" s="2">
        <v>45432</v>
      </c>
      <c r="F2" s="4">
        <v>45436</v>
      </c>
      <c r="G2" s="1">
        <v>4</v>
      </c>
      <c r="H2" s="1">
        <v>238</v>
      </c>
      <c r="I2" s="1" t="s">
        <v>14</v>
      </c>
      <c r="J2" s="1" t="s">
        <v>15</v>
      </c>
      <c r="K2" s="1" t="s">
        <v>16</v>
      </c>
      <c r="L2" t="str">
        <f>TEXT(Table2[[#This Row],[Order Date]],"YYY")</f>
        <v>2024</v>
      </c>
      <c r="M2" t="str">
        <f>TEXT(Table2[[#This Row],[Order Date]],"MMM")</f>
        <v>May</v>
      </c>
      <c r="N2" t="str">
        <f>TEXT(Table2[[#This Row],[Order Date]],"DDD")</f>
        <v>Mon</v>
      </c>
      <c r="O2">
        <f>DATEDIF(Table2[[#This Row],[Order Date]],Table2[[#This Row],[Delivered Date]],"D")</f>
        <v>4</v>
      </c>
      <c r="P2" s="10">
        <f>ROUND(Table2[[#This Row],[Quantity]]*Table2[[#This Row],[Unit Price]]*VLOOKUP(Table2[[#This Row],[Product Name]],Table_1[#All],2,FALSE),0)</f>
        <v>714</v>
      </c>
      <c r="Q2" s="10">
        <f>Table2[[#This Row],[Quantity]]*Table2[[#This Row],[Unit Price]]</f>
        <v>952</v>
      </c>
      <c r="R2" s="10">
        <f>Table2[[#This Row],[Sales Revenue]]-Table2[[#This Row],[Total Cost After Product Percentage Calc]]</f>
        <v>238</v>
      </c>
    </row>
    <row r="3" spans="1:18" ht="14.25" customHeight="1" x14ac:dyDescent="0.3">
      <c r="A3" s="1">
        <v>2</v>
      </c>
      <c r="B3" s="1" t="s">
        <v>17</v>
      </c>
      <c r="C3" s="1" t="s">
        <v>18</v>
      </c>
      <c r="D3" s="1" t="s">
        <v>19</v>
      </c>
      <c r="E3" s="2">
        <v>45594</v>
      </c>
      <c r="F3" s="4">
        <v>45600</v>
      </c>
      <c r="G3" s="1">
        <v>7</v>
      </c>
      <c r="H3" s="1">
        <v>42</v>
      </c>
      <c r="I3" s="1" t="s">
        <v>14</v>
      </c>
      <c r="J3" s="1" t="s">
        <v>15</v>
      </c>
      <c r="K3" s="1" t="s">
        <v>20</v>
      </c>
      <c r="L3" t="str">
        <f>TEXT(Table2[[#This Row],[Order Date]],"YYY")</f>
        <v>2024</v>
      </c>
      <c r="M3" t="str">
        <f>TEXT(Table2[[#This Row],[Order Date]],"MMM")</f>
        <v>Oct</v>
      </c>
      <c r="N3" t="str">
        <f>TEXT(Table2[[#This Row],[Order Date]],"DDD")</f>
        <v>Tue</v>
      </c>
      <c r="O3">
        <f>DATEDIF(Table2[[#This Row],[Order Date]],Table2[[#This Row],[Delivered Date]],"D")</f>
        <v>6</v>
      </c>
      <c r="P3" s="10">
        <f>ROUND(Table2[[#This Row],[Quantity]]*Table2[[#This Row],[Unit Price]]*VLOOKUP(Table2[[#This Row],[Product Name]],Table_1[#All],2,FALSE),0)</f>
        <v>147</v>
      </c>
      <c r="Q3" s="10">
        <f>Table2[[#This Row],[Quantity]]*Table2[[#This Row],[Unit Price]]</f>
        <v>294</v>
      </c>
      <c r="R3" s="10">
        <f>Table2[[#This Row],[Sales Revenue]]-Table2[[#This Row],[Total Cost After Product Percentage Calc]]</f>
        <v>147</v>
      </c>
    </row>
    <row r="4" spans="1:18" ht="14.25" customHeight="1" x14ac:dyDescent="0.3">
      <c r="A4" s="1">
        <v>3</v>
      </c>
      <c r="B4" s="1" t="s">
        <v>21</v>
      </c>
      <c r="C4" s="1" t="s">
        <v>22</v>
      </c>
      <c r="D4" s="1" t="s">
        <v>23</v>
      </c>
      <c r="E4" s="2">
        <v>45593</v>
      </c>
      <c r="F4" s="4">
        <v>45603</v>
      </c>
      <c r="G4" s="1">
        <v>5</v>
      </c>
      <c r="H4" s="1">
        <v>838</v>
      </c>
      <c r="I4" s="1" t="s">
        <v>14</v>
      </c>
      <c r="J4" s="1" t="s">
        <v>24</v>
      </c>
      <c r="K4" s="1" t="s">
        <v>20</v>
      </c>
      <c r="L4" t="str">
        <f>TEXT(Table2[[#This Row],[Order Date]],"YYY")</f>
        <v>2024</v>
      </c>
      <c r="M4" t="str">
        <f>TEXT(Table2[[#This Row],[Order Date]],"MMM")</f>
        <v>Oct</v>
      </c>
      <c r="N4" t="str">
        <f>TEXT(Table2[[#This Row],[Order Date]],"DDD")</f>
        <v>Mon</v>
      </c>
      <c r="O4">
        <f>DATEDIF(Table2[[#This Row],[Order Date]],Table2[[#This Row],[Delivered Date]],"D")</f>
        <v>10</v>
      </c>
      <c r="P4" s="10">
        <f>ROUND(Table2[[#This Row],[Quantity]]*Table2[[#This Row],[Unit Price]]*VLOOKUP(Table2[[#This Row],[Product Name]],Table_1[#All],2,FALSE),0)</f>
        <v>3143</v>
      </c>
      <c r="Q4" s="10">
        <f>Table2[[#This Row],[Quantity]]*Table2[[#This Row],[Unit Price]]</f>
        <v>4190</v>
      </c>
      <c r="R4" s="10">
        <f>Table2[[#This Row],[Sales Revenue]]-Table2[[#This Row],[Total Cost After Product Percentage Calc]]</f>
        <v>1047</v>
      </c>
    </row>
    <row r="5" spans="1:18" ht="14.25" customHeight="1" x14ac:dyDescent="0.3">
      <c r="A5" s="1">
        <v>4</v>
      </c>
      <c r="B5" s="1" t="s">
        <v>25</v>
      </c>
      <c r="C5" s="1" t="s">
        <v>26</v>
      </c>
      <c r="D5" s="1" t="s">
        <v>27</v>
      </c>
      <c r="E5" s="2">
        <v>45434</v>
      </c>
      <c r="F5" s="4">
        <v>45439</v>
      </c>
      <c r="G5" s="1">
        <v>3</v>
      </c>
      <c r="H5" s="1">
        <v>230</v>
      </c>
      <c r="I5" s="1" t="s">
        <v>14</v>
      </c>
      <c r="J5" s="1" t="s">
        <v>24</v>
      </c>
      <c r="K5" s="1" t="s">
        <v>20</v>
      </c>
      <c r="L5" t="str">
        <f>TEXT(Table2[[#This Row],[Order Date]],"YYY")</f>
        <v>2024</v>
      </c>
      <c r="M5" t="str">
        <f>TEXT(Table2[[#This Row],[Order Date]],"MMM")</f>
        <v>May</v>
      </c>
      <c r="N5" t="str">
        <f>TEXT(Table2[[#This Row],[Order Date]],"DDD")</f>
        <v>Wed</v>
      </c>
      <c r="O5">
        <f>DATEDIF(Table2[[#This Row],[Order Date]],Table2[[#This Row],[Delivered Date]],"D")</f>
        <v>5</v>
      </c>
      <c r="P5" s="10">
        <f>ROUND(Table2[[#This Row],[Quantity]]*Table2[[#This Row],[Unit Price]]*VLOOKUP(Table2[[#This Row],[Product Name]],Table_1[#All],2,FALSE),0)</f>
        <v>380</v>
      </c>
      <c r="Q5" s="10">
        <f>Table2[[#This Row],[Quantity]]*Table2[[#This Row],[Unit Price]]</f>
        <v>690</v>
      </c>
      <c r="R5" s="10">
        <f>Table2[[#This Row],[Sales Revenue]]-Table2[[#This Row],[Total Cost After Product Percentage Calc]]</f>
        <v>310</v>
      </c>
    </row>
    <row r="6" spans="1:18" ht="14.25" customHeight="1" x14ac:dyDescent="0.3">
      <c r="A6" s="1">
        <v>5</v>
      </c>
      <c r="B6" s="1" t="s">
        <v>28</v>
      </c>
      <c r="C6" s="1" t="s">
        <v>12</v>
      </c>
      <c r="D6" s="1" t="s">
        <v>29</v>
      </c>
      <c r="E6" s="2">
        <v>45566</v>
      </c>
      <c r="F6" s="4">
        <v>45582</v>
      </c>
      <c r="G6" s="1">
        <v>2</v>
      </c>
      <c r="H6" s="1">
        <v>954</v>
      </c>
      <c r="I6" s="1" t="s">
        <v>30</v>
      </c>
      <c r="J6" s="1" t="s">
        <v>31</v>
      </c>
      <c r="K6" s="1" t="s">
        <v>32</v>
      </c>
      <c r="L6" t="str">
        <f>TEXT(Table2[[#This Row],[Order Date]],"YYY")</f>
        <v>2024</v>
      </c>
      <c r="M6" t="str">
        <f>TEXT(Table2[[#This Row],[Order Date]],"MMM")</f>
        <v>Oct</v>
      </c>
      <c r="N6" t="str">
        <f>TEXT(Table2[[#This Row],[Order Date]],"DDD")</f>
        <v>Tue</v>
      </c>
      <c r="O6">
        <f>DATEDIF(Table2[[#This Row],[Order Date]],Table2[[#This Row],[Delivered Date]],"D")</f>
        <v>16</v>
      </c>
      <c r="P6" s="10">
        <f>ROUND(Table2[[#This Row],[Quantity]]*Table2[[#This Row],[Unit Price]]*VLOOKUP(Table2[[#This Row],[Product Name]],Table_1[#All],2,FALSE),0)</f>
        <v>1240</v>
      </c>
      <c r="Q6" s="10">
        <f>Table2[[#This Row],[Quantity]]*Table2[[#This Row],[Unit Price]]</f>
        <v>1908</v>
      </c>
      <c r="R6" s="10">
        <f>Table2[[#This Row],[Sales Revenue]]-Table2[[#This Row],[Total Cost After Product Percentage Calc]]</f>
        <v>668</v>
      </c>
    </row>
    <row r="7" spans="1:18" ht="14.25" customHeight="1" x14ac:dyDescent="0.3">
      <c r="A7" s="1">
        <v>6</v>
      </c>
      <c r="B7" s="1" t="s">
        <v>33</v>
      </c>
      <c r="C7" s="1" t="s">
        <v>34</v>
      </c>
      <c r="D7" s="1" t="s">
        <v>35</v>
      </c>
      <c r="E7" s="2">
        <v>45477</v>
      </c>
      <c r="F7" s="4">
        <v>45483</v>
      </c>
      <c r="G7" s="1">
        <v>10</v>
      </c>
      <c r="H7" s="1">
        <v>206</v>
      </c>
      <c r="I7" s="1" t="s">
        <v>14</v>
      </c>
      <c r="J7" s="1" t="s">
        <v>36</v>
      </c>
      <c r="K7" s="1" t="s">
        <v>32</v>
      </c>
      <c r="L7" t="str">
        <f>TEXT(Table2[[#This Row],[Order Date]],"YYY")</f>
        <v>2024</v>
      </c>
      <c r="M7" t="str">
        <f>TEXT(Table2[[#This Row],[Order Date]],"MMM")</f>
        <v>Jul</v>
      </c>
      <c r="N7" t="str">
        <f>TEXT(Table2[[#This Row],[Order Date]],"DDD")</f>
        <v>Thu</v>
      </c>
      <c r="O7">
        <f>DATEDIF(Table2[[#This Row],[Order Date]],Table2[[#This Row],[Delivered Date]],"D")</f>
        <v>6</v>
      </c>
      <c r="P7" s="10">
        <f>ROUND(Table2[[#This Row],[Quantity]]*Table2[[#This Row],[Unit Price]]*VLOOKUP(Table2[[#This Row],[Product Name]],Table_1[#All],2,FALSE),0)</f>
        <v>1545</v>
      </c>
      <c r="Q7" s="10">
        <f>Table2[[#This Row],[Quantity]]*Table2[[#This Row],[Unit Price]]</f>
        <v>2060</v>
      </c>
      <c r="R7" s="10">
        <f>Table2[[#This Row],[Sales Revenue]]-Table2[[#This Row],[Total Cost After Product Percentage Calc]]</f>
        <v>515</v>
      </c>
    </row>
    <row r="8" spans="1:18" ht="14.25" customHeight="1" thickBot="1" x14ac:dyDescent="0.35">
      <c r="A8" s="1">
        <v>7</v>
      </c>
      <c r="B8" s="1" t="s">
        <v>37</v>
      </c>
      <c r="C8" s="1" t="s">
        <v>26</v>
      </c>
      <c r="D8" s="1" t="s">
        <v>27</v>
      </c>
      <c r="E8" s="2">
        <v>45375</v>
      </c>
      <c r="F8" s="4">
        <v>45387</v>
      </c>
      <c r="G8" s="1">
        <v>6</v>
      </c>
      <c r="H8" s="1">
        <v>373</v>
      </c>
      <c r="I8" s="1" t="s">
        <v>30</v>
      </c>
      <c r="J8" s="1" t="s">
        <v>15</v>
      </c>
      <c r="K8" s="1" t="s">
        <v>32</v>
      </c>
      <c r="L8" t="str">
        <f>TEXT(Table2[[#This Row],[Order Date]],"YYY")</f>
        <v>2024</v>
      </c>
      <c r="M8" t="str">
        <f>TEXT(Table2[[#This Row],[Order Date]],"MMM")</f>
        <v>Mar</v>
      </c>
      <c r="N8" t="str">
        <f>TEXT(Table2[[#This Row],[Order Date]],"DDD")</f>
        <v>Sun</v>
      </c>
      <c r="O8">
        <f>DATEDIF(Table2[[#This Row],[Order Date]],Table2[[#This Row],[Delivered Date]],"D")</f>
        <v>12</v>
      </c>
      <c r="P8" s="10">
        <f>ROUND(Table2[[#This Row],[Quantity]]*Table2[[#This Row],[Unit Price]]*VLOOKUP(Table2[[#This Row],[Product Name]],Table_1[#All],2,FALSE),0)</f>
        <v>1231</v>
      </c>
      <c r="Q8" s="10">
        <f>Table2[[#This Row],[Quantity]]*Table2[[#This Row],[Unit Price]]</f>
        <v>2238</v>
      </c>
      <c r="R8" s="10">
        <f>Table2[[#This Row],[Sales Revenue]]-Table2[[#This Row],[Total Cost After Product Percentage Calc]]</f>
        <v>1007</v>
      </c>
    </row>
    <row r="9" spans="1:18" ht="14.25" customHeight="1" x14ac:dyDescent="0.3">
      <c r="A9" s="1">
        <v>8</v>
      </c>
      <c r="B9" s="1" t="s">
        <v>38</v>
      </c>
      <c r="C9" s="1" t="s">
        <v>12</v>
      </c>
      <c r="D9" s="1" t="s">
        <v>39</v>
      </c>
      <c r="E9" s="2">
        <v>45617</v>
      </c>
      <c r="F9" s="4">
        <v>45627</v>
      </c>
      <c r="G9" s="1">
        <v>3</v>
      </c>
      <c r="H9" s="1">
        <v>556</v>
      </c>
      <c r="I9" s="1" t="s">
        <v>14</v>
      </c>
      <c r="J9" s="1" t="s">
        <v>36</v>
      </c>
      <c r="K9" s="1" t="s">
        <v>20</v>
      </c>
      <c r="L9" t="str">
        <f>TEXT(Table2[[#This Row],[Order Date]],"YYY")</f>
        <v>2024</v>
      </c>
      <c r="M9" t="str">
        <f>TEXT(Table2[[#This Row],[Order Date]],"MMM")</f>
        <v>Nov</v>
      </c>
      <c r="N9" s="6" t="str">
        <f>TEXT(Table2[[#This Row],[Order Date]],"DDD")</f>
        <v>Thu</v>
      </c>
      <c r="O9" s="7">
        <f>DATEDIF(Table2[[#This Row],[Order Date]],Table2[[#This Row],[Delivered Date]],"D")</f>
        <v>10</v>
      </c>
      <c r="P9" s="10">
        <f>ROUND(Table2[[#This Row],[Quantity]]*Table2[[#This Row],[Unit Price]]*VLOOKUP(Table2[[#This Row],[Product Name]],Table_1[#All],2,FALSE),0)</f>
        <v>1334</v>
      </c>
      <c r="Q9" s="10">
        <f>Table2[[#This Row],[Quantity]]*Table2[[#This Row],[Unit Price]]</f>
        <v>1668</v>
      </c>
      <c r="R9" s="10">
        <f>Table2[[#This Row],[Sales Revenue]]-Table2[[#This Row],[Total Cost After Product Percentage Calc]]</f>
        <v>334</v>
      </c>
    </row>
    <row r="10" spans="1:18" ht="14.25" customHeight="1" x14ac:dyDescent="0.3">
      <c r="A10" s="1">
        <v>9</v>
      </c>
      <c r="B10" s="1" t="s">
        <v>40</v>
      </c>
      <c r="C10" s="1" t="s">
        <v>26</v>
      </c>
      <c r="D10" s="1" t="s">
        <v>41</v>
      </c>
      <c r="E10" s="2">
        <v>45430</v>
      </c>
      <c r="F10" s="4">
        <v>45434</v>
      </c>
      <c r="G10" s="1">
        <v>9</v>
      </c>
      <c r="H10" s="1">
        <v>234</v>
      </c>
      <c r="I10" s="1" t="s">
        <v>14</v>
      </c>
      <c r="J10" s="1" t="s">
        <v>36</v>
      </c>
      <c r="K10" s="1" t="s">
        <v>20</v>
      </c>
      <c r="L10" t="str">
        <f>TEXT(Table2[[#This Row],[Order Date]],"YYY")</f>
        <v>2024</v>
      </c>
      <c r="M10" t="str">
        <f>TEXT(Table2[[#This Row],[Order Date]],"MMM")</f>
        <v>May</v>
      </c>
      <c r="N10" t="str">
        <f>TEXT(Table2[[#This Row],[Order Date]],"DDD")</f>
        <v>Sat</v>
      </c>
      <c r="O10">
        <f>DATEDIF(Table2[[#This Row],[Order Date]],Table2[[#This Row],[Delivered Date]],"D")</f>
        <v>4</v>
      </c>
      <c r="P10" s="10">
        <f>ROUND(Table2[[#This Row],[Quantity]]*Table2[[#This Row],[Unit Price]]*VLOOKUP(Table2[[#This Row],[Product Name]],Table_1[#All],2,FALSE),0)</f>
        <v>1053</v>
      </c>
      <c r="Q10" s="10">
        <f>Table2[[#This Row],[Quantity]]*Table2[[#This Row],[Unit Price]]</f>
        <v>2106</v>
      </c>
      <c r="R10" s="10">
        <f>Table2[[#This Row],[Sales Revenue]]-Table2[[#This Row],[Total Cost After Product Percentage Calc]]</f>
        <v>1053</v>
      </c>
    </row>
    <row r="11" spans="1:18" ht="14.25" customHeight="1" x14ac:dyDescent="0.3">
      <c r="A11" s="1">
        <v>10</v>
      </c>
      <c r="B11" s="1" t="s">
        <v>42</v>
      </c>
      <c r="C11" s="1" t="s">
        <v>22</v>
      </c>
      <c r="D11" s="1" t="s">
        <v>43</v>
      </c>
      <c r="E11" s="2">
        <v>45453</v>
      </c>
      <c r="F11" s="4">
        <v>45468</v>
      </c>
      <c r="G11" s="1">
        <v>7</v>
      </c>
      <c r="H11" s="1">
        <v>284</v>
      </c>
      <c r="I11" s="1" t="s">
        <v>30</v>
      </c>
      <c r="J11" s="1" t="s">
        <v>15</v>
      </c>
      <c r="K11" s="1" t="s">
        <v>20</v>
      </c>
      <c r="L11" t="str">
        <f>TEXT(Table2[[#This Row],[Order Date]],"YYY")</f>
        <v>2024</v>
      </c>
      <c r="M11" t="str">
        <f>TEXT(Table2[[#This Row],[Order Date]],"MMM")</f>
        <v>Jun</v>
      </c>
      <c r="N11" t="str">
        <f>TEXT(Table2[[#This Row],[Order Date]],"DDD")</f>
        <v>Mon</v>
      </c>
      <c r="O11">
        <f>DATEDIF(Table2[[#This Row],[Order Date]],Table2[[#This Row],[Delivered Date]],"D")</f>
        <v>15</v>
      </c>
      <c r="P11" s="10">
        <f>ROUND(Table2[[#This Row],[Quantity]]*Table2[[#This Row],[Unit Price]]*VLOOKUP(Table2[[#This Row],[Product Name]],Table_1[#All],2,FALSE),0)</f>
        <v>1292</v>
      </c>
      <c r="Q11" s="10">
        <f>Table2[[#This Row],[Quantity]]*Table2[[#This Row],[Unit Price]]</f>
        <v>1988</v>
      </c>
      <c r="R11" s="10">
        <f>Table2[[#This Row],[Sales Revenue]]-Table2[[#This Row],[Total Cost After Product Percentage Calc]]</f>
        <v>696</v>
      </c>
    </row>
    <row r="12" spans="1:18" ht="14.25" customHeight="1" x14ac:dyDescent="0.3">
      <c r="A12" s="1">
        <v>11</v>
      </c>
      <c r="B12" s="1" t="s">
        <v>44</v>
      </c>
      <c r="C12" s="1" t="s">
        <v>34</v>
      </c>
      <c r="D12" s="1" t="s">
        <v>45</v>
      </c>
      <c r="E12" s="2">
        <v>45627</v>
      </c>
      <c r="F12" s="4">
        <v>45636</v>
      </c>
      <c r="G12" s="1">
        <v>8</v>
      </c>
      <c r="H12" s="1">
        <v>415</v>
      </c>
      <c r="I12" s="1" t="s">
        <v>14</v>
      </c>
      <c r="J12" s="1" t="s">
        <v>36</v>
      </c>
      <c r="K12" s="1" t="s">
        <v>32</v>
      </c>
      <c r="L12" t="str">
        <f>TEXT(Table2[[#This Row],[Order Date]],"YYY")</f>
        <v>2024</v>
      </c>
      <c r="M12" t="str">
        <f>TEXT(Table2[[#This Row],[Order Date]],"MMM")</f>
        <v>Dec</v>
      </c>
      <c r="N12" t="str">
        <f>TEXT(Table2[[#This Row],[Order Date]],"DDD")</f>
        <v>Sun</v>
      </c>
      <c r="O12">
        <f>DATEDIF(Table2[[#This Row],[Order Date]],Table2[[#This Row],[Delivered Date]],"D")</f>
        <v>9</v>
      </c>
      <c r="P12" s="10">
        <f>ROUND(Table2[[#This Row],[Quantity]]*Table2[[#This Row],[Unit Price]]*VLOOKUP(Table2[[#This Row],[Product Name]],Table_1[#All],2,FALSE),0)</f>
        <v>2158</v>
      </c>
      <c r="Q12" s="10">
        <f>Table2[[#This Row],[Quantity]]*Table2[[#This Row],[Unit Price]]</f>
        <v>3320</v>
      </c>
      <c r="R12" s="10">
        <f>Table2[[#This Row],[Sales Revenue]]-Table2[[#This Row],[Total Cost After Product Percentage Calc]]</f>
        <v>1162</v>
      </c>
    </row>
    <row r="13" spans="1:18" ht="14.25" customHeight="1" x14ac:dyDescent="0.3">
      <c r="A13" s="1">
        <v>12</v>
      </c>
      <c r="B13" s="1" t="s">
        <v>46</v>
      </c>
      <c r="C13" s="1" t="s">
        <v>18</v>
      </c>
      <c r="D13" s="1" t="s">
        <v>47</v>
      </c>
      <c r="E13" s="2">
        <v>45477</v>
      </c>
      <c r="F13" s="4">
        <v>45480</v>
      </c>
      <c r="G13" s="1">
        <v>4</v>
      </c>
      <c r="H13" s="1">
        <v>151</v>
      </c>
      <c r="I13" s="1" t="s">
        <v>14</v>
      </c>
      <c r="J13" s="1" t="s">
        <v>36</v>
      </c>
      <c r="K13" s="1" t="s">
        <v>20</v>
      </c>
      <c r="L13" t="str">
        <f>TEXT(Table2[[#This Row],[Order Date]],"YYY")</f>
        <v>2024</v>
      </c>
      <c r="M13" t="str">
        <f>TEXT(Table2[[#This Row],[Order Date]],"MMM")</f>
        <v>Jul</v>
      </c>
      <c r="N13" t="str">
        <f>TEXT(Table2[[#This Row],[Order Date]],"DDD")</f>
        <v>Thu</v>
      </c>
      <c r="O13">
        <f>DATEDIF(Table2[[#This Row],[Order Date]],Table2[[#This Row],[Delivered Date]],"D")</f>
        <v>3</v>
      </c>
      <c r="P13" s="10">
        <f>ROUND(Table2[[#This Row],[Quantity]]*Table2[[#This Row],[Unit Price]]*VLOOKUP(Table2[[#This Row],[Product Name]],Table_1[#All],2,FALSE),0)</f>
        <v>362</v>
      </c>
      <c r="Q13" s="10">
        <f>Table2[[#This Row],[Quantity]]*Table2[[#This Row],[Unit Price]]</f>
        <v>604</v>
      </c>
      <c r="R13" s="10">
        <f>Table2[[#This Row],[Sales Revenue]]-Table2[[#This Row],[Total Cost After Product Percentage Calc]]</f>
        <v>242</v>
      </c>
    </row>
    <row r="14" spans="1:18" ht="14.25" customHeight="1" x14ac:dyDescent="0.3">
      <c r="A14" s="1">
        <v>13</v>
      </c>
      <c r="B14" s="1" t="s">
        <v>48</v>
      </c>
      <c r="C14" s="1" t="s">
        <v>12</v>
      </c>
      <c r="D14" s="1" t="s">
        <v>13</v>
      </c>
      <c r="E14" s="2">
        <v>45370</v>
      </c>
      <c r="F14" s="4">
        <v>45380</v>
      </c>
      <c r="G14" s="1">
        <v>3</v>
      </c>
      <c r="H14" s="1">
        <v>821</v>
      </c>
      <c r="I14" s="1" t="s">
        <v>30</v>
      </c>
      <c r="J14" s="1" t="s">
        <v>36</v>
      </c>
      <c r="K14" s="1" t="s">
        <v>49</v>
      </c>
      <c r="L14" t="str">
        <f>TEXT(Table2[[#This Row],[Order Date]],"YYY")</f>
        <v>2024</v>
      </c>
      <c r="M14" t="str">
        <f>TEXT(Table2[[#This Row],[Order Date]],"MMM")</f>
        <v>Mar</v>
      </c>
      <c r="N14" t="str">
        <f>TEXT(Table2[[#This Row],[Order Date]],"DDD")</f>
        <v>Tue</v>
      </c>
      <c r="O14">
        <f>DATEDIF(Table2[[#This Row],[Order Date]],Table2[[#This Row],[Delivered Date]],"D")</f>
        <v>10</v>
      </c>
      <c r="P14" s="10">
        <f>ROUND(Table2[[#This Row],[Quantity]]*Table2[[#This Row],[Unit Price]]*VLOOKUP(Table2[[#This Row],[Product Name]],Table_1[#All],2,FALSE),0)</f>
        <v>1847</v>
      </c>
      <c r="Q14" s="10">
        <f>Table2[[#This Row],[Quantity]]*Table2[[#This Row],[Unit Price]]</f>
        <v>2463</v>
      </c>
      <c r="R14" s="10">
        <f>Table2[[#This Row],[Sales Revenue]]-Table2[[#This Row],[Total Cost After Product Percentage Calc]]</f>
        <v>616</v>
      </c>
    </row>
    <row r="15" spans="1:18" ht="14.25" customHeight="1" x14ac:dyDescent="0.3">
      <c r="A15" s="1">
        <v>14</v>
      </c>
      <c r="B15" s="1" t="s">
        <v>50</v>
      </c>
      <c r="C15" s="1" t="s">
        <v>12</v>
      </c>
      <c r="D15" s="1" t="s">
        <v>29</v>
      </c>
      <c r="E15" s="2">
        <v>45487</v>
      </c>
      <c r="F15" s="4">
        <v>45501</v>
      </c>
      <c r="G15" s="1">
        <v>10</v>
      </c>
      <c r="H15" s="1">
        <v>489</v>
      </c>
      <c r="I15" s="1" t="s">
        <v>30</v>
      </c>
      <c r="J15" s="1" t="s">
        <v>36</v>
      </c>
      <c r="K15" s="1" t="s">
        <v>32</v>
      </c>
      <c r="L15" t="str">
        <f>TEXT(Table2[[#This Row],[Order Date]],"YYY")</f>
        <v>2024</v>
      </c>
      <c r="M15" t="str">
        <f>TEXT(Table2[[#This Row],[Order Date]],"MMM")</f>
        <v>Jul</v>
      </c>
      <c r="N15" t="str">
        <f>TEXT(Table2[[#This Row],[Order Date]],"DDD")</f>
        <v>Sun</v>
      </c>
      <c r="O15">
        <f>DATEDIF(Table2[[#This Row],[Order Date]],Table2[[#This Row],[Delivered Date]],"D")</f>
        <v>14</v>
      </c>
      <c r="P15" s="10">
        <f>ROUND(Table2[[#This Row],[Quantity]]*Table2[[#This Row],[Unit Price]]*VLOOKUP(Table2[[#This Row],[Product Name]],Table_1[#All],2,FALSE),0)</f>
        <v>3179</v>
      </c>
      <c r="Q15" s="10">
        <f>Table2[[#This Row],[Quantity]]*Table2[[#This Row],[Unit Price]]</f>
        <v>4890</v>
      </c>
      <c r="R15" s="10">
        <f>Table2[[#This Row],[Sales Revenue]]-Table2[[#This Row],[Total Cost After Product Percentage Calc]]</f>
        <v>1711</v>
      </c>
    </row>
    <row r="16" spans="1:18" ht="14.25" customHeight="1" x14ac:dyDescent="0.3">
      <c r="A16" s="1">
        <v>15</v>
      </c>
      <c r="B16" s="1" t="s">
        <v>51</v>
      </c>
      <c r="C16" s="1" t="s">
        <v>12</v>
      </c>
      <c r="D16" s="1" t="s">
        <v>13</v>
      </c>
      <c r="E16" s="2">
        <v>45641</v>
      </c>
      <c r="F16" s="4">
        <v>45650</v>
      </c>
      <c r="G16" s="1">
        <v>9</v>
      </c>
      <c r="H16" s="1">
        <v>778</v>
      </c>
      <c r="I16" s="1" t="s">
        <v>14</v>
      </c>
      <c r="J16" s="1" t="s">
        <v>52</v>
      </c>
      <c r="K16" s="1" t="s">
        <v>32</v>
      </c>
      <c r="L16" t="str">
        <f>TEXT(Table2[[#This Row],[Order Date]],"YYY")</f>
        <v>2024</v>
      </c>
      <c r="M16" t="str">
        <f>TEXT(Table2[[#This Row],[Order Date]],"MMM")</f>
        <v>Dec</v>
      </c>
      <c r="N16" t="str">
        <f>TEXT(Table2[[#This Row],[Order Date]],"DDD")</f>
        <v>Sun</v>
      </c>
      <c r="O16">
        <f>DATEDIF(Table2[[#This Row],[Order Date]],Table2[[#This Row],[Delivered Date]],"D")</f>
        <v>9</v>
      </c>
      <c r="P16" s="10">
        <f>ROUND(Table2[[#This Row],[Quantity]]*Table2[[#This Row],[Unit Price]]*VLOOKUP(Table2[[#This Row],[Product Name]],Table_1[#All],2,FALSE),0)</f>
        <v>5252</v>
      </c>
      <c r="Q16" s="10">
        <f>Table2[[#This Row],[Quantity]]*Table2[[#This Row],[Unit Price]]</f>
        <v>7002</v>
      </c>
      <c r="R16" s="10">
        <f>Table2[[#This Row],[Sales Revenue]]-Table2[[#This Row],[Total Cost After Product Percentage Calc]]</f>
        <v>1750</v>
      </c>
    </row>
    <row r="17" spans="1:18" ht="14.25" customHeight="1" x14ac:dyDescent="0.3">
      <c r="A17" s="1">
        <v>16</v>
      </c>
      <c r="B17" s="1" t="s">
        <v>53</v>
      </c>
      <c r="C17" s="1" t="s">
        <v>34</v>
      </c>
      <c r="D17" s="1" t="s">
        <v>54</v>
      </c>
      <c r="E17" s="2">
        <v>45372</v>
      </c>
      <c r="F17" s="4">
        <v>45380</v>
      </c>
      <c r="G17" s="1">
        <v>8</v>
      </c>
      <c r="H17" s="1">
        <v>13</v>
      </c>
      <c r="I17" s="1" t="s">
        <v>30</v>
      </c>
      <c r="J17" s="1" t="s">
        <v>36</v>
      </c>
      <c r="K17" s="1" t="s">
        <v>49</v>
      </c>
      <c r="L17" t="str">
        <f>TEXT(Table2[[#This Row],[Order Date]],"YYY")</f>
        <v>2024</v>
      </c>
      <c r="M17" t="str">
        <f>TEXT(Table2[[#This Row],[Order Date]],"MMM")</f>
        <v>Mar</v>
      </c>
      <c r="N17" t="str">
        <f>TEXT(Table2[[#This Row],[Order Date]],"DDD")</f>
        <v>Thu</v>
      </c>
      <c r="O17">
        <f>DATEDIF(Table2[[#This Row],[Order Date]],Table2[[#This Row],[Delivered Date]],"D")</f>
        <v>8</v>
      </c>
      <c r="P17" s="10">
        <f>ROUND(Table2[[#This Row],[Quantity]]*Table2[[#This Row],[Unit Price]]*VLOOKUP(Table2[[#This Row],[Product Name]],Table_1[#All],2,FALSE),0)</f>
        <v>73</v>
      </c>
      <c r="Q17" s="10">
        <f>Table2[[#This Row],[Quantity]]*Table2[[#This Row],[Unit Price]]</f>
        <v>104</v>
      </c>
      <c r="R17" s="10">
        <f>Table2[[#This Row],[Sales Revenue]]-Table2[[#This Row],[Total Cost After Product Percentage Calc]]</f>
        <v>31</v>
      </c>
    </row>
    <row r="18" spans="1:18" ht="14.25" customHeight="1" x14ac:dyDescent="0.3">
      <c r="A18" s="1">
        <v>17</v>
      </c>
      <c r="B18" s="1" t="s">
        <v>55</v>
      </c>
      <c r="C18" s="1" t="s">
        <v>22</v>
      </c>
      <c r="D18" s="1" t="s">
        <v>56</v>
      </c>
      <c r="E18" s="2">
        <v>45346</v>
      </c>
      <c r="F18" s="4">
        <v>45354</v>
      </c>
      <c r="G18" s="1">
        <v>5</v>
      </c>
      <c r="H18" s="1">
        <v>871</v>
      </c>
      <c r="I18" s="1" t="s">
        <v>30</v>
      </c>
      <c r="J18" s="1" t="s">
        <v>36</v>
      </c>
      <c r="K18" s="1" t="s">
        <v>16</v>
      </c>
      <c r="L18" t="str">
        <f>TEXT(Table2[[#This Row],[Order Date]],"YYY")</f>
        <v>2024</v>
      </c>
      <c r="M18" t="str">
        <f>TEXT(Table2[[#This Row],[Order Date]],"MMM")</f>
        <v>Feb</v>
      </c>
      <c r="N18" t="str">
        <f>TEXT(Table2[[#This Row],[Order Date]],"DDD")</f>
        <v>Sat</v>
      </c>
      <c r="O18">
        <f>DATEDIF(Table2[[#This Row],[Order Date]],Table2[[#This Row],[Delivered Date]],"D")</f>
        <v>8</v>
      </c>
      <c r="P18" s="10">
        <f>ROUND(Table2[[#This Row],[Quantity]]*Table2[[#This Row],[Unit Price]]*VLOOKUP(Table2[[#This Row],[Product Name]],Table_1[#All],2,FALSE),0)</f>
        <v>3049</v>
      </c>
      <c r="Q18" s="10">
        <f>Table2[[#This Row],[Quantity]]*Table2[[#This Row],[Unit Price]]</f>
        <v>4355</v>
      </c>
      <c r="R18" s="10">
        <f>Table2[[#This Row],[Sales Revenue]]-Table2[[#This Row],[Total Cost After Product Percentage Calc]]</f>
        <v>1306</v>
      </c>
    </row>
    <row r="19" spans="1:18" ht="14.25" customHeight="1" x14ac:dyDescent="0.3">
      <c r="A19" s="1">
        <v>18</v>
      </c>
      <c r="B19" s="1" t="s">
        <v>57</v>
      </c>
      <c r="C19" s="1" t="s">
        <v>22</v>
      </c>
      <c r="D19" s="1" t="s">
        <v>58</v>
      </c>
      <c r="E19" s="2">
        <v>45483</v>
      </c>
      <c r="F19" s="4">
        <v>45492</v>
      </c>
      <c r="G19" s="1">
        <v>3</v>
      </c>
      <c r="H19" s="1">
        <v>562</v>
      </c>
      <c r="I19" s="1" t="s">
        <v>14</v>
      </c>
      <c r="J19" s="1" t="s">
        <v>24</v>
      </c>
      <c r="K19" s="1" t="s">
        <v>49</v>
      </c>
      <c r="L19" t="str">
        <f>TEXT(Table2[[#This Row],[Order Date]],"YYY")</f>
        <v>2024</v>
      </c>
      <c r="M19" t="str">
        <f>TEXT(Table2[[#This Row],[Order Date]],"MMM")</f>
        <v>Jul</v>
      </c>
      <c r="N19" t="str">
        <f>TEXT(Table2[[#This Row],[Order Date]],"DDD")</f>
        <v>Wed</v>
      </c>
      <c r="O19">
        <f>DATEDIF(Table2[[#This Row],[Order Date]],Table2[[#This Row],[Delivered Date]],"D")</f>
        <v>9</v>
      </c>
      <c r="P19" s="10">
        <f>ROUND(Table2[[#This Row],[Quantity]]*Table2[[#This Row],[Unit Price]]*VLOOKUP(Table2[[#This Row],[Product Name]],Table_1[#All],2,FALSE),0)</f>
        <v>1180</v>
      </c>
      <c r="Q19" s="10">
        <f>Table2[[#This Row],[Quantity]]*Table2[[#This Row],[Unit Price]]</f>
        <v>1686</v>
      </c>
      <c r="R19" s="10">
        <f>Table2[[#This Row],[Sales Revenue]]-Table2[[#This Row],[Total Cost After Product Percentage Calc]]</f>
        <v>506</v>
      </c>
    </row>
    <row r="20" spans="1:18" ht="14.25" customHeight="1" x14ac:dyDescent="0.3">
      <c r="A20" s="1">
        <v>19</v>
      </c>
      <c r="B20" s="1" t="s">
        <v>59</v>
      </c>
      <c r="C20" s="1" t="s">
        <v>18</v>
      </c>
      <c r="D20" s="1" t="s">
        <v>60</v>
      </c>
      <c r="E20" s="2">
        <v>45542</v>
      </c>
      <c r="F20" s="4">
        <v>45552</v>
      </c>
      <c r="G20" s="1">
        <v>1</v>
      </c>
      <c r="H20" s="1">
        <v>124</v>
      </c>
      <c r="I20" s="1" t="s">
        <v>14</v>
      </c>
      <c r="J20" s="1" t="s">
        <v>52</v>
      </c>
      <c r="K20" s="1" t="s">
        <v>16</v>
      </c>
      <c r="L20" t="str">
        <f>TEXT(Table2[[#This Row],[Order Date]],"YYY")</f>
        <v>2024</v>
      </c>
      <c r="M20" t="str">
        <f>TEXT(Table2[[#This Row],[Order Date]],"MMM")</f>
        <v>Sep</v>
      </c>
      <c r="N20" t="str">
        <f>TEXT(Table2[[#This Row],[Order Date]],"DDD")</f>
        <v>Sat</v>
      </c>
      <c r="O20">
        <f>DATEDIF(Table2[[#This Row],[Order Date]],Table2[[#This Row],[Delivered Date]],"D")</f>
        <v>10</v>
      </c>
      <c r="P20" s="10">
        <f>ROUND(Table2[[#This Row],[Quantity]]*Table2[[#This Row],[Unit Price]]*VLOOKUP(Table2[[#This Row],[Product Name]],Table_1[#All],2,FALSE),0)</f>
        <v>68</v>
      </c>
      <c r="Q20" s="10">
        <f>Table2[[#This Row],[Quantity]]*Table2[[#This Row],[Unit Price]]</f>
        <v>124</v>
      </c>
      <c r="R20" s="10">
        <f>Table2[[#This Row],[Sales Revenue]]-Table2[[#This Row],[Total Cost After Product Percentage Calc]]</f>
        <v>56</v>
      </c>
    </row>
    <row r="21" spans="1:18" ht="14.25" customHeight="1" x14ac:dyDescent="0.3">
      <c r="A21" s="1">
        <v>20</v>
      </c>
      <c r="B21" s="1" t="s">
        <v>61</v>
      </c>
      <c r="C21" s="1" t="s">
        <v>12</v>
      </c>
      <c r="D21" s="1" t="s">
        <v>62</v>
      </c>
      <c r="E21" s="2">
        <v>45582</v>
      </c>
      <c r="F21" s="4">
        <v>45588</v>
      </c>
      <c r="G21" s="1">
        <v>2</v>
      </c>
      <c r="H21" s="1">
        <v>97</v>
      </c>
      <c r="I21" s="1" t="s">
        <v>14</v>
      </c>
      <c r="J21" s="1" t="s">
        <v>36</v>
      </c>
      <c r="K21" s="1" t="s">
        <v>49</v>
      </c>
      <c r="L21" t="str">
        <f>TEXT(Table2[[#This Row],[Order Date]],"YYY")</f>
        <v>2024</v>
      </c>
      <c r="M21" t="str">
        <f>TEXT(Table2[[#This Row],[Order Date]],"MMM")</f>
        <v>Oct</v>
      </c>
      <c r="N21" t="str">
        <f>TEXT(Table2[[#This Row],[Order Date]],"DDD")</f>
        <v>Thu</v>
      </c>
      <c r="O21">
        <f>DATEDIF(Table2[[#This Row],[Order Date]],Table2[[#This Row],[Delivered Date]],"D")</f>
        <v>6</v>
      </c>
      <c r="P21" s="10">
        <f>ROUND(Table2[[#This Row],[Quantity]]*Table2[[#This Row],[Unit Price]]*VLOOKUP(Table2[[#This Row],[Product Name]],Table_1[#All],2,FALSE),0)</f>
        <v>165</v>
      </c>
      <c r="Q21" s="10">
        <f>Table2[[#This Row],[Quantity]]*Table2[[#This Row],[Unit Price]]</f>
        <v>194</v>
      </c>
      <c r="R21" s="10">
        <f>Table2[[#This Row],[Sales Revenue]]-Table2[[#This Row],[Total Cost After Product Percentage Calc]]</f>
        <v>29</v>
      </c>
    </row>
    <row r="22" spans="1:18" ht="14.25" customHeight="1" x14ac:dyDescent="0.3">
      <c r="A22" s="1">
        <v>21</v>
      </c>
      <c r="B22" s="1" t="s">
        <v>46</v>
      </c>
      <c r="C22" s="1" t="s">
        <v>18</v>
      </c>
      <c r="D22" s="1" t="s">
        <v>47</v>
      </c>
      <c r="E22" s="2">
        <v>45477</v>
      </c>
      <c r="F22" s="4">
        <v>45480</v>
      </c>
      <c r="G22" s="1">
        <v>4</v>
      </c>
      <c r="H22" s="1">
        <v>151</v>
      </c>
      <c r="I22" s="1" t="s">
        <v>14</v>
      </c>
      <c r="J22" s="1" t="s">
        <v>36</v>
      </c>
      <c r="K22" s="1" t="s">
        <v>16</v>
      </c>
      <c r="L22" t="str">
        <f>TEXT(Table2[[#This Row],[Order Date]],"YYY")</f>
        <v>2024</v>
      </c>
      <c r="M22" t="str">
        <f>TEXT(Table2[[#This Row],[Order Date]],"MMM")</f>
        <v>Jul</v>
      </c>
      <c r="N22" t="str">
        <f>TEXT(Table2[[#This Row],[Order Date]],"DDD")</f>
        <v>Thu</v>
      </c>
      <c r="O22">
        <f>DATEDIF(Table2[[#This Row],[Order Date]],Table2[[#This Row],[Delivered Date]],"D")</f>
        <v>3</v>
      </c>
      <c r="P22" s="10">
        <f>ROUND(Table2[[#This Row],[Quantity]]*Table2[[#This Row],[Unit Price]]*VLOOKUP(Table2[[#This Row],[Product Name]],Table_1[#All],2,FALSE),0)</f>
        <v>362</v>
      </c>
      <c r="Q22" s="10">
        <f>Table2[[#This Row],[Quantity]]*Table2[[#This Row],[Unit Price]]</f>
        <v>604</v>
      </c>
      <c r="R22" s="10">
        <f>Table2[[#This Row],[Sales Revenue]]-Table2[[#This Row],[Total Cost After Product Percentage Calc]]</f>
        <v>242</v>
      </c>
    </row>
    <row r="23" spans="1:18" ht="14.25" customHeight="1" thickBot="1" x14ac:dyDescent="0.35">
      <c r="A23" s="1">
        <v>22</v>
      </c>
      <c r="B23" s="1" t="s">
        <v>63</v>
      </c>
      <c r="C23" s="1" t="s">
        <v>18</v>
      </c>
      <c r="D23" s="1" t="s">
        <v>64</v>
      </c>
      <c r="E23" s="2">
        <v>45508</v>
      </c>
      <c r="F23" s="4">
        <v>45520</v>
      </c>
      <c r="G23" s="1">
        <v>4</v>
      </c>
      <c r="H23" s="1">
        <v>961</v>
      </c>
      <c r="I23" s="1" t="s">
        <v>30</v>
      </c>
      <c r="J23" s="1" t="s">
        <v>36</v>
      </c>
      <c r="K23" s="1" t="s">
        <v>16</v>
      </c>
      <c r="L23" t="str">
        <f>TEXT(Table2[[#This Row],[Order Date]],"YYY")</f>
        <v>2024</v>
      </c>
      <c r="M23" t="str">
        <f>TEXT(Table2[[#This Row],[Order Date]],"MMM")</f>
        <v>Aug</v>
      </c>
      <c r="N23" s="5" t="str">
        <f>TEXT(Table2[[#This Row],[Order Date]],"DDD")</f>
        <v>Sun</v>
      </c>
      <c r="O23" s="5">
        <f>DATEDIF(Table2[[#This Row],[Order Date]],Table2[[#This Row],[Delivered Date]],"D")</f>
        <v>12</v>
      </c>
      <c r="P23" s="10">
        <f>ROUND(Table2[[#This Row],[Quantity]]*Table2[[#This Row],[Unit Price]]*VLOOKUP(Table2[[#This Row],[Product Name]],Table_1[#All],2,FALSE),0)</f>
        <v>2499</v>
      </c>
      <c r="Q23" s="10">
        <f>Table2[[#This Row],[Quantity]]*Table2[[#This Row],[Unit Price]]</f>
        <v>3844</v>
      </c>
      <c r="R23" s="10">
        <f>Table2[[#This Row],[Sales Revenue]]-Table2[[#This Row],[Total Cost After Product Percentage Calc]]</f>
        <v>1345</v>
      </c>
    </row>
    <row r="24" spans="1:18" ht="14.25" customHeight="1" x14ac:dyDescent="0.3">
      <c r="A24" s="1">
        <v>23</v>
      </c>
      <c r="B24" s="1" t="s">
        <v>65</v>
      </c>
      <c r="C24" s="1" t="s">
        <v>34</v>
      </c>
      <c r="D24" s="1" t="s">
        <v>54</v>
      </c>
      <c r="E24" s="2">
        <v>45635</v>
      </c>
      <c r="F24" s="4">
        <v>45638</v>
      </c>
      <c r="G24" s="1">
        <v>6</v>
      </c>
      <c r="H24" s="1">
        <v>458</v>
      </c>
      <c r="I24" s="1" t="s">
        <v>14</v>
      </c>
      <c r="J24" s="1" t="s">
        <v>36</v>
      </c>
      <c r="K24" s="1" t="s">
        <v>20</v>
      </c>
      <c r="L24" t="str">
        <f>TEXT(Table2[[#This Row],[Order Date]],"YYY")</f>
        <v>2024</v>
      </c>
      <c r="M24" t="str">
        <f>TEXT(Table2[[#This Row],[Order Date]],"MMM")</f>
        <v>Dec</v>
      </c>
      <c r="N24" t="str">
        <f>TEXT(Table2[[#This Row],[Order Date]],"DDD")</f>
        <v>Mon</v>
      </c>
      <c r="O24">
        <f>DATEDIF(Table2[[#This Row],[Order Date]],Table2[[#This Row],[Delivered Date]],"D")</f>
        <v>3</v>
      </c>
      <c r="P24" s="10">
        <f>ROUND(Table2[[#This Row],[Quantity]]*Table2[[#This Row],[Unit Price]]*VLOOKUP(Table2[[#This Row],[Product Name]],Table_1[#All],2,FALSE),0)</f>
        <v>1924</v>
      </c>
      <c r="Q24" s="10">
        <f>Table2[[#This Row],[Quantity]]*Table2[[#This Row],[Unit Price]]</f>
        <v>2748</v>
      </c>
      <c r="R24" s="10">
        <f>Table2[[#This Row],[Sales Revenue]]-Table2[[#This Row],[Total Cost After Product Percentage Calc]]</f>
        <v>824</v>
      </c>
    </row>
    <row r="25" spans="1:18" ht="14.25" customHeight="1" x14ac:dyDescent="0.3">
      <c r="A25" s="1">
        <v>24</v>
      </c>
      <c r="B25" s="1" t="s">
        <v>66</v>
      </c>
      <c r="C25" s="1" t="s">
        <v>22</v>
      </c>
      <c r="D25" s="1" t="s">
        <v>58</v>
      </c>
      <c r="E25" s="2">
        <v>45324</v>
      </c>
      <c r="F25" s="4">
        <v>45334</v>
      </c>
      <c r="G25" s="1">
        <v>6</v>
      </c>
      <c r="H25" s="1">
        <v>31</v>
      </c>
      <c r="I25" s="1" t="s">
        <v>14</v>
      </c>
      <c r="J25" s="1" t="s">
        <v>36</v>
      </c>
      <c r="K25" s="1" t="s">
        <v>32</v>
      </c>
      <c r="L25" t="str">
        <f>TEXT(Table2[[#This Row],[Order Date]],"YYY")</f>
        <v>2024</v>
      </c>
      <c r="M25" t="str">
        <f>TEXT(Table2[[#This Row],[Order Date]],"MMM")</f>
        <v>Feb</v>
      </c>
      <c r="N25" t="str">
        <f>TEXT(Table2[[#This Row],[Order Date]],"DDD")</f>
        <v>Fri</v>
      </c>
      <c r="O25">
        <f>DATEDIF(Table2[[#This Row],[Order Date]],Table2[[#This Row],[Delivered Date]],"D")</f>
        <v>10</v>
      </c>
      <c r="P25" s="10">
        <f>ROUND(Table2[[#This Row],[Quantity]]*Table2[[#This Row],[Unit Price]]*VLOOKUP(Table2[[#This Row],[Product Name]],Table_1[#All],2,FALSE),0)</f>
        <v>130</v>
      </c>
      <c r="Q25" s="10">
        <f>Table2[[#This Row],[Quantity]]*Table2[[#This Row],[Unit Price]]</f>
        <v>186</v>
      </c>
      <c r="R25" s="10">
        <f>Table2[[#This Row],[Sales Revenue]]-Table2[[#This Row],[Total Cost After Product Percentage Calc]]</f>
        <v>56</v>
      </c>
    </row>
    <row r="26" spans="1:18" ht="14.25" customHeight="1" x14ac:dyDescent="0.3">
      <c r="A26" s="1">
        <v>25</v>
      </c>
      <c r="B26" s="1" t="s">
        <v>67</v>
      </c>
      <c r="C26" s="1" t="s">
        <v>18</v>
      </c>
      <c r="D26" s="1" t="s">
        <v>68</v>
      </c>
      <c r="E26" s="2">
        <v>45295</v>
      </c>
      <c r="F26" s="4">
        <v>45306</v>
      </c>
      <c r="G26" s="1">
        <v>2</v>
      </c>
      <c r="H26" s="1">
        <v>734</v>
      </c>
      <c r="I26" s="1" t="s">
        <v>14</v>
      </c>
      <c r="J26" s="1" t="s">
        <v>36</v>
      </c>
      <c r="K26" s="1" t="s">
        <v>49</v>
      </c>
      <c r="L26" t="str">
        <f>TEXT(Table2[[#This Row],[Order Date]],"YYY")</f>
        <v>2024</v>
      </c>
      <c r="M26" t="str">
        <f>TEXT(Table2[[#This Row],[Order Date]],"MMM")</f>
        <v>Jan</v>
      </c>
      <c r="N26" t="str">
        <f>TEXT(Table2[[#This Row],[Order Date]],"DDD")</f>
        <v>Thu</v>
      </c>
      <c r="O26">
        <f>DATEDIF(Table2[[#This Row],[Order Date]],Table2[[#This Row],[Delivered Date]],"D")</f>
        <v>11</v>
      </c>
      <c r="P26" s="10">
        <f>ROUND(Table2[[#This Row],[Quantity]]*Table2[[#This Row],[Unit Price]]*VLOOKUP(Table2[[#This Row],[Product Name]],Table_1[#All],2,FALSE),0)</f>
        <v>734</v>
      </c>
      <c r="Q26" s="10">
        <f>Table2[[#This Row],[Quantity]]*Table2[[#This Row],[Unit Price]]</f>
        <v>1468</v>
      </c>
      <c r="R26" s="10">
        <f>Table2[[#This Row],[Sales Revenue]]-Table2[[#This Row],[Total Cost After Product Percentage Calc]]</f>
        <v>734</v>
      </c>
    </row>
    <row r="27" spans="1:18" ht="14.25" customHeight="1" x14ac:dyDescent="0.3">
      <c r="A27" s="1">
        <v>26</v>
      </c>
      <c r="B27" s="1" t="s">
        <v>69</v>
      </c>
      <c r="C27" s="1" t="s">
        <v>12</v>
      </c>
      <c r="D27" s="1" t="s">
        <v>13</v>
      </c>
      <c r="E27" s="2">
        <v>45461</v>
      </c>
      <c r="F27" s="4">
        <v>45472</v>
      </c>
      <c r="G27" s="1">
        <v>2</v>
      </c>
      <c r="H27" s="1">
        <v>536</v>
      </c>
      <c r="I27" s="1" t="s">
        <v>30</v>
      </c>
      <c r="J27" s="1" t="s">
        <v>15</v>
      </c>
      <c r="K27" s="1" t="s">
        <v>16</v>
      </c>
      <c r="L27" t="str">
        <f>TEXT(Table2[[#This Row],[Order Date]],"YYY")</f>
        <v>2024</v>
      </c>
      <c r="M27" t="str">
        <f>TEXT(Table2[[#This Row],[Order Date]],"MMM")</f>
        <v>Jun</v>
      </c>
      <c r="N27" t="str">
        <f>TEXT(Table2[[#This Row],[Order Date]],"DDD")</f>
        <v>Tue</v>
      </c>
      <c r="O27">
        <f>DATEDIF(Table2[[#This Row],[Order Date]],Table2[[#This Row],[Delivered Date]],"D")</f>
        <v>11</v>
      </c>
      <c r="P27" s="10">
        <f>ROUND(Table2[[#This Row],[Quantity]]*Table2[[#This Row],[Unit Price]]*VLOOKUP(Table2[[#This Row],[Product Name]],Table_1[#All],2,FALSE),0)</f>
        <v>804</v>
      </c>
      <c r="Q27" s="10">
        <f>Table2[[#This Row],[Quantity]]*Table2[[#This Row],[Unit Price]]</f>
        <v>1072</v>
      </c>
      <c r="R27" s="10">
        <f>Table2[[#This Row],[Sales Revenue]]-Table2[[#This Row],[Total Cost After Product Percentage Calc]]</f>
        <v>268</v>
      </c>
    </row>
    <row r="28" spans="1:18" ht="14.25" customHeight="1" x14ac:dyDescent="0.3">
      <c r="A28" s="1">
        <v>27</v>
      </c>
      <c r="B28" s="1" t="s">
        <v>70</v>
      </c>
      <c r="C28" s="1" t="s">
        <v>26</v>
      </c>
      <c r="D28" s="1" t="s">
        <v>41</v>
      </c>
      <c r="E28" s="2">
        <v>45531</v>
      </c>
      <c r="F28" s="4">
        <v>45534</v>
      </c>
      <c r="G28" s="1">
        <v>1</v>
      </c>
      <c r="H28" s="1">
        <v>200</v>
      </c>
      <c r="I28" s="1" t="s">
        <v>14</v>
      </c>
      <c r="J28" s="1" t="s">
        <v>36</v>
      </c>
      <c r="K28" s="1" t="s">
        <v>49</v>
      </c>
      <c r="L28" t="str">
        <f>TEXT(Table2[[#This Row],[Order Date]],"YYY")</f>
        <v>2024</v>
      </c>
      <c r="M28" t="str">
        <f>TEXT(Table2[[#This Row],[Order Date]],"MMM")</f>
        <v>Aug</v>
      </c>
      <c r="N28" t="str">
        <f>TEXT(Table2[[#This Row],[Order Date]],"DDD")</f>
        <v>Tue</v>
      </c>
      <c r="O28">
        <f>DATEDIF(Table2[[#This Row],[Order Date]],Table2[[#This Row],[Delivered Date]],"D")</f>
        <v>3</v>
      </c>
      <c r="P28" s="10">
        <f>ROUND(Table2[[#This Row],[Quantity]]*Table2[[#This Row],[Unit Price]]*VLOOKUP(Table2[[#This Row],[Product Name]],Table_1[#All],2,FALSE),0)</f>
        <v>100</v>
      </c>
      <c r="Q28" s="10">
        <f>Table2[[#This Row],[Quantity]]*Table2[[#This Row],[Unit Price]]</f>
        <v>200</v>
      </c>
      <c r="R28" s="10">
        <f>Table2[[#This Row],[Sales Revenue]]-Table2[[#This Row],[Total Cost After Product Percentage Calc]]</f>
        <v>100</v>
      </c>
    </row>
    <row r="29" spans="1:18" ht="14.25" customHeight="1" x14ac:dyDescent="0.3">
      <c r="A29" s="1">
        <v>28</v>
      </c>
      <c r="B29" s="1" t="s">
        <v>71</v>
      </c>
      <c r="C29" s="1" t="s">
        <v>18</v>
      </c>
      <c r="D29" s="1" t="s">
        <v>19</v>
      </c>
      <c r="E29" s="2">
        <v>45317</v>
      </c>
      <c r="F29" s="4">
        <v>45329</v>
      </c>
      <c r="G29" s="1">
        <v>9</v>
      </c>
      <c r="H29" s="1">
        <v>866</v>
      </c>
      <c r="I29" s="1" t="s">
        <v>14</v>
      </c>
      <c r="J29" s="1" t="s">
        <v>15</v>
      </c>
      <c r="K29" s="1" t="s">
        <v>32</v>
      </c>
      <c r="L29" t="str">
        <f>TEXT(Table2[[#This Row],[Order Date]],"YYY")</f>
        <v>2024</v>
      </c>
      <c r="M29" t="str">
        <f>TEXT(Table2[[#This Row],[Order Date]],"MMM")</f>
        <v>Jan</v>
      </c>
      <c r="N29" t="str">
        <f>TEXT(Table2[[#This Row],[Order Date]],"DDD")</f>
        <v>Fri</v>
      </c>
      <c r="O29">
        <f>DATEDIF(Table2[[#This Row],[Order Date]],Table2[[#This Row],[Delivered Date]],"D")</f>
        <v>12</v>
      </c>
      <c r="P29" s="10">
        <f>ROUND(Table2[[#This Row],[Quantity]]*Table2[[#This Row],[Unit Price]]*VLOOKUP(Table2[[#This Row],[Product Name]],Table_1[#All],2,FALSE),0)</f>
        <v>3897</v>
      </c>
      <c r="Q29" s="10">
        <f>Table2[[#This Row],[Quantity]]*Table2[[#This Row],[Unit Price]]</f>
        <v>7794</v>
      </c>
      <c r="R29" s="10">
        <f>Table2[[#This Row],[Sales Revenue]]-Table2[[#This Row],[Total Cost After Product Percentage Calc]]</f>
        <v>3897</v>
      </c>
    </row>
    <row r="30" spans="1:18" ht="14.25" customHeight="1" x14ac:dyDescent="0.3">
      <c r="A30" s="1">
        <v>29</v>
      </c>
      <c r="B30" s="1" t="s">
        <v>72</v>
      </c>
      <c r="C30" s="1" t="s">
        <v>22</v>
      </c>
      <c r="D30" s="1" t="s">
        <v>23</v>
      </c>
      <c r="E30" s="2">
        <v>45540</v>
      </c>
      <c r="F30" s="4">
        <v>45554</v>
      </c>
      <c r="G30" s="1">
        <v>8</v>
      </c>
      <c r="H30" s="1">
        <v>228</v>
      </c>
      <c r="I30" s="1" t="s">
        <v>14</v>
      </c>
      <c r="J30" s="1" t="s">
        <v>24</v>
      </c>
      <c r="K30" s="1" t="s">
        <v>32</v>
      </c>
      <c r="L30" t="str">
        <f>TEXT(Table2[[#This Row],[Order Date]],"YYY")</f>
        <v>2024</v>
      </c>
      <c r="M30" t="str">
        <f>TEXT(Table2[[#This Row],[Order Date]],"MMM")</f>
        <v>Sep</v>
      </c>
      <c r="N30" t="str">
        <f>TEXT(Table2[[#This Row],[Order Date]],"DDD")</f>
        <v>Thu</v>
      </c>
      <c r="O30">
        <f>DATEDIF(Table2[[#This Row],[Order Date]],Table2[[#This Row],[Delivered Date]],"D")</f>
        <v>14</v>
      </c>
      <c r="P30" s="10">
        <f>ROUND(Table2[[#This Row],[Quantity]]*Table2[[#This Row],[Unit Price]]*VLOOKUP(Table2[[#This Row],[Product Name]],Table_1[#All],2,FALSE),0)</f>
        <v>1368</v>
      </c>
      <c r="Q30" s="10">
        <f>Table2[[#This Row],[Quantity]]*Table2[[#This Row],[Unit Price]]</f>
        <v>1824</v>
      </c>
      <c r="R30" s="10">
        <f>Table2[[#This Row],[Sales Revenue]]-Table2[[#This Row],[Total Cost After Product Percentage Calc]]</f>
        <v>456</v>
      </c>
    </row>
    <row r="31" spans="1:18" ht="14.25" customHeight="1" x14ac:dyDescent="0.3">
      <c r="A31" s="1">
        <v>30</v>
      </c>
      <c r="B31" s="1" t="s">
        <v>73</v>
      </c>
      <c r="C31" s="1" t="s">
        <v>26</v>
      </c>
      <c r="D31" s="1" t="s">
        <v>74</v>
      </c>
      <c r="E31" s="2">
        <v>45630</v>
      </c>
      <c r="F31" s="4">
        <v>45637</v>
      </c>
      <c r="G31" s="1">
        <v>8</v>
      </c>
      <c r="H31" s="1">
        <v>168</v>
      </c>
      <c r="I31" s="1" t="s">
        <v>14</v>
      </c>
      <c r="J31" s="1" t="s">
        <v>15</v>
      </c>
      <c r="K31" s="1" t="s">
        <v>20</v>
      </c>
      <c r="L31" t="str">
        <f>TEXT(Table2[[#This Row],[Order Date]],"YYY")</f>
        <v>2024</v>
      </c>
      <c r="M31" t="str">
        <f>TEXT(Table2[[#This Row],[Order Date]],"MMM")</f>
        <v>Dec</v>
      </c>
      <c r="N31" t="str">
        <f>TEXT(Table2[[#This Row],[Order Date]],"DDD")</f>
        <v>Wed</v>
      </c>
      <c r="O31">
        <f>DATEDIF(Table2[[#This Row],[Order Date]],Table2[[#This Row],[Delivered Date]],"D")</f>
        <v>7</v>
      </c>
      <c r="P31" s="10">
        <f>ROUND(Table2[[#This Row],[Quantity]]*Table2[[#This Row],[Unit Price]]*VLOOKUP(Table2[[#This Row],[Product Name]],Table_1[#All],2,FALSE),0)</f>
        <v>739</v>
      </c>
      <c r="Q31" s="10">
        <f>Table2[[#This Row],[Quantity]]*Table2[[#This Row],[Unit Price]]</f>
        <v>1344</v>
      </c>
      <c r="R31" s="10">
        <f>Table2[[#This Row],[Sales Revenue]]-Table2[[#This Row],[Total Cost After Product Percentage Calc]]</f>
        <v>605</v>
      </c>
    </row>
    <row r="32" spans="1:18" ht="14.25" customHeight="1" x14ac:dyDescent="0.3">
      <c r="A32" s="1">
        <v>31</v>
      </c>
      <c r="B32" s="1" t="s">
        <v>75</v>
      </c>
      <c r="C32" s="1" t="s">
        <v>12</v>
      </c>
      <c r="D32" s="1" t="s">
        <v>39</v>
      </c>
      <c r="E32" s="2">
        <v>45569</v>
      </c>
      <c r="F32" s="4">
        <v>45572</v>
      </c>
      <c r="G32" s="1">
        <v>1</v>
      </c>
      <c r="H32" s="1">
        <v>775</v>
      </c>
      <c r="I32" s="1" t="s">
        <v>14</v>
      </c>
      <c r="J32" s="1" t="s">
        <v>52</v>
      </c>
      <c r="K32" s="1" t="s">
        <v>20</v>
      </c>
      <c r="L32" t="str">
        <f>TEXT(Table2[[#This Row],[Order Date]],"YYY")</f>
        <v>2024</v>
      </c>
      <c r="M32" t="str">
        <f>TEXT(Table2[[#This Row],[Order Date]],"MMM")</f>
        <v>Oct</v>
      </c>
      <c r="N32" t="str">
        <f>TEXT(Table2[[#This Row],[Order Date]],"DDD")</f>
        <v>Fri</v>
      </c>
      <c r="O32">
        <f>DATEDIF(Table2[[#This Row],[Order Date]],Table2[[#This Row],[Delivered Date]],"D")</f>
        <v>3</v>
      </c>
      <c r="P32" s="10">
        <f>ROUND(Table2[[#This Row],[Quantity]]*Table2[[#This Row],[Unit Price]]*VLOOKUP(Table2[[#This Row],[Product Name]],Table_1[#All],2,FALSE),0)</f>
        <v>620</v>
      </c>
      <c r="Q32" s="10">
        <f>Table2[[#This Row],[Quantity]]*Table2[[#This Row],[Unit Price]]</f>
        <v>775</v>
      </c>
      <c r="R32" s="10">
        <f>Table2[[#This Row],[Sales Revenue]]-Table2[[#This Row],[Total Cost After Product Percentage Calc]]</f>
        <v>155</v>
      </c>
    </row>
    <row r="33" spans="1:18" ht="14.25" customHeight="1" x14ac:dyDescent="0.3">
      <c r="A33" s="1">
        <v>32</v>
      </c>
      <c r="B33" s="1" t="s">
        <v>76</v>
      </c>
      <c r="C33" s="1" t="s">
        <v>18</v>
      </c>
      <c r="D33" s="1" t="s">
        <v>47</v>
      </c>
      <c r="E33" s="2">
        <v>45549</v>
      </c>
      <c r="F33" s="4">
        <v>45554</v>
      </c>
      <c r="G33" s="1">
        <v>9</v>
      </c>
      <c r="H33" s="1">
        <v>171</v>
      </c>
      <c r="I33" s="1" t="s">
        <v>14</v>
      </c>
      <c r="J33" s="1" t="s">
        <v>15</v>
      </c>
      <c r="K33" s="1" t="s">
        <v>32</v>
      </c>
      <c r="L33" t="str">
        <f>TEXT(Table2[[#This Row],[Order Date]],"YYY")</f>
        <v>2024</v>
      </c>
      <c r="M33" t="str">
        <f>TEXT(Table2[[#This Row],[Order Date]],"MMM")</f>
        <v>Sep</v>
      </c>
      <c r="N33" t="str">
        <f>TEXT(Table2[[#This Row],[Order Date]],"DDD")</f>
        <v>Sat</v>
      </c>
      <c r="O33">
        <f>DATEDIF(Table2[[#This Row],[Order Date]],Table2[[#This Row],[Delivered Date]],"D")</f>
        <v>5</v>
      </c>
      <c r="P33" s="10">
        <f>ROUND(Table2[[#This Row],[Quantity]]*Table2[[#This Row],[Unit Price]]*VLOOKUP(Table2[[#This Row],[Product Name]],Table_1[#All],2,FALSE),0)</f>
        <v>923</v>
      </c>
      <c r="Q33" s="10">
        <f>Table2[[#This Row],[Quantity]]*Table2[[#This Row],[Unit Price]]</f>
        <v>1539</v>
      </c>
      <c r="R33" s="10">
        <f>Table2[[#This Row],[Sales Revenue]]-Table2[[#This Row],[Total Cost After Product Percentage Calc]]</f>
        <v>616</v>
      </c>
    </row>
    <row r="34" spans="1:18" ht="14.25" customHeight="1" x14ac:dyDescent="0.3">
      <c r="A34" s="1">
        <v>33</v>
      </c>
      <c r="B34" s="1" t="s">
        <v>77</v>
      </c>
      <c r="C34" s="1" t="s">
        <v>12</v>
      </c>
      <c r="D34" s="1" t="s">
        <v>39</v>
      </c>
      <c r="E34" s="2">
        <v>45418</v>
      </c>
      <c r="F34" s="4">
        <v>45431</v>
      </c>
      <c r="G34" s="1">
        <v>10</v>
      </c>
      <c r="H34" s="1">
        <v>618</v>
      </c>
      <c r="I34" s="1" t="s">
        <v>14</v>
      </c>
      <c r="J34" s="1" t="s">
        <v>15</v>
      </c>
      <c r="K34" s="1" t="s">
        <v>49</v>
      </c>
      <c r="L34" t="str">
        <f>TEXT(Table2[[#This Row],[Order Date]],"YYY")</f>
        <v>2024</v>
      </c>
      <c r="M34" t="str">
        <f>TEXT(Table2[[#This Row],[Order Date]],"MMM")</f>
        <v>May</v>
      </c>
      <c r="N34" t="str">
        <f>TEXT(Table2[[#This Row],[Order Date]],"DDD")</f>
        <v>Mon</v>
      </c>
      <c r="O34">
        <f>DATEDIF(Table2[[#This Row],[Order Date]],Table2[[#This Row],[Delivered Date]],"D")</f>
        <v>13</v>
      </c>
      <c r="P34" s="10">
        <f>ROUND(Table2[[#This Row],[Quantity]]*Table2[[#This Row],[Unit Price]]*VLOOKUP(Table2[[#This Row],[Product Name]],Table_1[#All],2,FALSE),0)</f>
        <v>4944</v>
      </c>
      <c r="Q34" s="10">
        <f>Table2[[#This Row],[Quantity]]*Table2[[#This Row],[Unit Price]]</f>
        <v>6180</v>
      </c>
      <c r="R34" s="10">
        <f>Table2[[#This Row],[Sales Revenue]]-Table2[[#This Row],[Total Cost After Product Percentage Calc]]</f>
        <v>1236</v>
      </c>
    </row>
    <row r="35" spans="1:18" ht="14.25" customHeight="1" x14ac:dyDescent="0.3">
      <c r="A35" s="1">
        <v>34</v>
      </c>
      <c r="B35" s="1" t="s">
        <v>78</v>
      </c>
      <c r="C35" s="1" t="s">
        <v>26</v>
      </c>
      <c r="D35" s="1" t="s">
        <v>74</v>
      </c>
      <c r="E35" s="2">
        <v>45581</v>
      </c>
      <c r="F35" s="4">
        <v>45586</v>
      </c>
      <c r="G35" s="1">
        <v>9</v>
      </c>
      <c r="H35" s="1">
        <v>333</v>
      </c>
      <c r="I35" s="1" t="s">
        <v>30</v>
      </c>
      <c r="J35" s="1" t="s">
        <v>52</v>
      </c>
      <c r="K35" s="1" t="s">
        <v>49</v>
      </c>
      <c r="L35" t="str">
        <f>TEXT(Table2[[#This Row],[Order Date]],"YYY")</f>
        <v>2024</v>
      </c>
      <c r="M35" t="str">
        <f>TEXT(Table2[[#This Row],[Order Date]],"MMM")</f>
        <v>Oct</v>
      </c>
      <c r="N35" t="str">
        <f>TEXT(Table2[[#This Row],[Order Date]],"DDD")</f>
        <v>Wed</v>
      </c>
      <c r="O35">
        <f>DATEDIF(Table2[[#This Row],[Order Date]],Table2[[#This Row],[Delivered Date]],"D")</f>
        <v>5</v>
      </c>
      <c r="P35" s="10">
        <f>ROUND(Table2[[#This Row],[Quantity]]*Table2[[#This Row],[Unit Price]]*VLOOKUP(Table2[[#This Row],[Product Name]],Table_1[#All],2,FALSE),0)</f>
        <v>1648</v>
      </c>
      <c r="Q35" s="10">
        <f>Table2[[#This Row],[Quantity]]*Table2[[#This Row],[Unit Price]]</f>
        <v>2997</v>
      </c>
      <c r="R35" s="10">
        <f>Table2[[#This Row],[Sales Revenue]]-Table2[[#This Row],[Total Cost After Product Percentage Calc]]</f>
        <v>1349</v>
      </c>
    </row>
    <row r="36" spans="1:18" ht="14.25" customHeight="1" x14ac:dyDescent="0.3">
      <c r="A36" s="1">
        <v>35</v>
      </c>
      <c r="B36" s="1" t="s">
        <v>79</v>
      </c>
      <c r="C36" s="1" t="s">
        <v>34</v>
      </c>
      <c r="D36" s="1" t="s">
        <v>80</v>
      </c>
      <c r="E36" s="2">
        <v>45296</v>
      </c>
      <c r="F36" s="4">
        <v>45301</v>
      </c>
      <c r="G36" s="1">
        <v>8</v>
      </c>
      <c r="H36" s="1">
        <v>646</v>
      </c>
      <c r="I36" s="1" t="s">
        <v>14</v>
      </c>
      <c r="J36" s="1" t="s">
        <v>36</v>
      </c>
      <c r="K36" s="1" t="s">
        <v>49</v>
      </c>
      <c r="L36" t="str">
        <f>TEXT(Table2[[#This Row],[Order Date]],"YYY")</f>
        <v>2024</v>
      </c>
      <c r="M36" t="str">
        <f>TEXT(Table2[[#This Row],[Order Date]],"MMM")</f>
        <v>Jan</v>
      </c>
      <c r="N36" t="str">
        <f>TEXT(Table2[[#This Row],[Order Date]],"DDD")</f>
        <v>Fri</v>
      </c>
      <c r="O36">
        <f>DATEDIF(Table2[[#This Row],[Order Date]],Table2[[#This Row],[Delivered Date]],"D")</f>
        <v>5</v>
      </c>
      <c r="P36" s="10">
        <f>ROUND(Table2[[#This Row],[Quantity]]*Table2[[#This Row],[Unit Price]]*VLOOKUP(Table2[[#This Row],[Product Name]],Table_1[#All],2,FALSE),0)</f>
        <v>3876</v>
      </c>
      <c r="Q36" s="10">
        <f>Table2[[#This Row],[Quantity]]*Table2[[#This Row],[Unit Price]]</f>
        <v>5168</v>
      </c>
      <c r="R36" s="10">
        <f>Table2[[#This Row],[Sales Revenue]]-Table2[[#This Row],[Total Cost After Product Percentage Calc]]</f>
        <v>1292</v>
      </c>
    </row>
    <row r="37" spans="1:18" ht="14.25" customHeight="1" x14ac:dyDescent="0.3">
      <c r="A37" s="1">
        <v>36</v>
      </c>
      <c r="B37" s="1" t="s">
        <v>81</v>
      </c>
      <c r="C37" s="1" t="s">
        <v>18</v>
      </c>
      <c r="D37" s="1" t="s">
        <v>68</v>
      </c>
      <c r="E37" s="2">
        <v>45551</v>
      </c>
      <c r="F37" s="4">
        <v>45556</v>
      </c>
      <c r="G37" s="1">
        <v>5</v>
      </c>
      <c r="H37">
        <v>496</v>
      </c>
      <c r="I37" s="1" t="s">
        <v>14</v>
      </c>
      <c r="J37" s="1" t="s">
        <v>52</v>
      </c>
      <c r="K37" s="1" t="s">
        <v>16</v>
      </c>
      <c r="L37" t="str">
        <f>TEXT(Table2[[#This Row],[Order Date]],"YYY")</f>
        <v>2024</v>
      </c>
      <c r="M37" t="str">
        <f>TEXT(Table2[[#This Row],[Order Date]],"MMM")</f>
        <v>Sep</v>
      </c>
      <c r="N37" t="str">
        <f>TEXT(Table2[[#This Row],[Order Date]],"DDD")</f>
        <v>Mon</v>
      </c>
      <c r="O37">
        <f>DATEDIF(Table2[[#This Row],[Order Date]],Table2[[#This Row],[Delivered Date]],"D")</f>
        <v>5</v>
      </c>
      <c r="P37" s="10">
        <f>ROUND(Table2[[#This Row],[Quantity]]*Table2[[#This Row],[Unit Price]]*VLOOKUP(Table2[[#This Row],[Product Name]],Table_1[#All],2,FALSE),0)</f>
        <v>1240</v>
      </c>
      <c r="Q37" s="10">
        <f>Table2[[#This Row],[Quantity]]*Table2[[#This Row],[Unit Price]]</f>
        <v>2480</v>
      </c>
      <c r="R37" s="10">
        <f>Table2[[#This Row],[Sales Revenue]]-Table2[[#This Row],[Total Cost After Product Percentage Calc]]</f>
        <v>1240</v>
      </c>
    </row>
    <row r="38" spans="1:18" ht="14.25" customHeight="1" x14ac:dyDescent="0.3">
      <c r="A38" s="1">
        <v>37</v>
      </c>
      <c r="B38" s="1" t="s">
        <v>82</v>
      </c>
      <c r="C38" s="1" t="s">
        <v>34</v>
      </c>
      <c r="D38" s="1" t="s">
        <v>83</v>
      </c>
      <c r="E38" s="2">
        <v>45372</v>
      </c>
      <c r="F38" s="4">
        <v>45386</v>
      </c>
      <c r="G38" s="1">
        <v>8</v>
      </c>
      <c r="H38" s="1">
        <v>863</v>
      </c>
      <c r="I38" s="1" t="s">
        <v>30</v>
      </c>
      <c r="J38" s="1" t="s">
        <v>36</v>
      </c>
      <c r="K38" s="1" t="s">
        <v>49</v>
      </c>
      <c r="L38" t="str">
        <f>TEXT(Table2[[#This Row],[Order Date]],"YYY")</f>
        <v>2024</v>
      </c>
      <c r="M38" t="str">
        <f>TEXT(Table2[[#This Row],[Order Date]],"MMM")</f>
        <v>Mar</v>
      </c>
      <c r="N38" t="str">
        <f>TEXT(Table2[[#This Row],[Order Date]],"DDD")</f>
        <v>Thu</v>
      </c>
      <c r="O38">
        <f>DATEDIF(Table2[[#This Row],[Order Date]],Table2[[#This Row],[Delivered Date]],"D")</f>
        <v>14</v>
      </c>
      <c r="P38" s="10">
        <f>ROUND(Table2[[#This Row],[Quantity]]*Table2[[#This Row],[Unit Price]]*VLOOKUP(Table2[[#This Row],[Product Name]],Table_1[#All],2,FALSE),0)</f>
        <v>4488</v>
      </c>
      <c r="Q38" s="10">
        <f>Table2[[#This Row],[Quantity]]*Table2[[#This Row],[Unit Price]]</f>
        <v>6904</v>
      </c>
      <c r="R38" s="10">
        <f>Table2[[#This Row],[Sales Revenue]]-Table2[[#This Row],[Total Cost After Product Percentage Calc]]</f>
        <v>2416</v>
      </c>
    </row>
    <row r="39" spans="1:18" ht="14.25" customHeight="1" x14ac:dyDescent="0.3">
      <c r="A39" s="1">
        <v>38</v>
      </c>
      <c r="B39" s="1" t="s">
        <v>84</v>
      </c>
      <c r="C39" s="1" t="s">
        <v>18</v>
      </c>
      <c r="D39" s="1" t="s">
        <v>19</v>
      </c>
      <c r="E39" s="2">
        <v>45633</v>
      </c>
      <c r="F39" s="4">
        <v>45645</v>
      </c>
      <c r="G39" s="1">
        <v>9</v>
      </c>
      <c r="H39" s="1">
        <v>316</v>
      </c>
      <c r="I39" s="1" t="s">
        <v>14</v>
      </c>
      <c r="J39" s="1" t="s">
        <v>36</v>
      </c>
      <c r="K39" s="1" t="s">
        <v>16</v>
      </c>
      <c r="L39" t="str">
        <f>TEXT(Table2[[#This Row],[Order Date]],"YYY")</f>
        <v>2024</v>
      </c>
      <c r="M39" t="str">
        <f>TEXT(Table2[[#This Row],[Order Date]],"MMM")</f>
        <v>Dec</v>
      </c>
      <c r="N39" t="str">
        <f>TEXT(Table2[[#This Row],[Order Date]],"DDD")</f>
        <v>Sat</v>
      </c>
      <c r="O39">
        <f>DATEDIF(Table2[[#This Row],[Order Date]],Table2[[#This Row],[Delivered Date]],"D")</f>
        <v>12</v>
      </c>
      <c r="P39" s="10">
        <f>ROUND(Table2[[#This Row],[Quantity]]*Table2[[#This Row],[Unit Price]]*VLOOKUP(Table2[[#This Row],[Product Name]],Table_1[#All],2,FALSE),0)</f>
        <v>1422</v>
      </c>
      <c r="Q39" s="10">
        <f>Table2[[#This Row],[Quantity]]*Table2[[#This Row],[Unit Price]]</f>
        <v>2844</v>
      </c>
      <c r="R39" s="10">
        <f>Table2[[#This Row],[Sales Revenue]]-Table2[[#This Row],[Total Cost After Product Percentage Calc]]</f>
        <v>1422</v>
      </c>
    </row>
    <row r="40" spans="1:18" ht="14.25" customHeight="1" x14ac:dyDescent="0.3">
      <c r="A40" s="1">
        <v>39</v>
      </c>
      <c r="B40" s="1" t="s">
        <v>85</v>
      </c>
      <c r="C40" s="1" t="s">
        <v>34</v>
      </c>
      <c r="D40" s="1" t="s">
        <v>80</v>
      </c>
      <c r="E40" s="2">
        <v>45346</v>
      </c>
      <c r="F40" s="4">
        <v>45351</v>
      </c>
      <c r="G40" s="1">
        <v>9</v>
      </c>
      <c r="H40" s="1">
        <v>169</v>
      </c>
      <c r="I40" s="1" t="s">
        <v>30</v>
      </c>
      <c r="J40" s="1" t="s">
        <v>52</v>
      </c>
      <c r="K40" s="1" t="s">
        <v>32</v>
      </c>
      <c r="L40" t="str">
        <f>TEXT(Table2[[#This Row],[Order Date]],"YYY")</f>
        <v>2024</v>
      </c>
      <c r="M40" t="str">
        <f>TEXT(Table2[[#This Row],[Order Date]],"MMM")</f>
        <v>Feb</v>
      </c>
      <c r="N40" t="str">
        <f>TEXT(Table2[[#This Row],[Order Date]],"DDD")</f>
        <v>Sat</v>
      </c>
      <c r="O40">
        <f>DATEDIF(Table2[[#This Row],[Order Date]],Table2[[#This Row],[Delivered Date]],"D")</f>
        <v>5</v>
      </c>
      <c r="P40" s="10">
        <f>ROUND(Table2[[#This Row],[Quantity]]*Table2[[#This Row],[Unit Price]]*VLOOKUP(Table2[[#This Row],[Product Name]],Table_1[#All],2,FALSE),0)</f>
        <v>1141</v>
      </c>
      <c r="Q40" s="10">
        <f>Table2[[#This Row],[Quantity]]*Table2[[#This Row],[Unit Price]]</f>
        <v>1521</v>
      </c>
      <c r="R40" s="10">
        <f>Table2[[#This Row],[Sales Revenue]]-Table2[[#This Row],[Total Cost After Product Percentage Calc]]</f>
        <v>380</v>
      </c>
    </row>
    <row r="41" spans="1:18" ht="14.25" customHeight="1" x14ac:dyDescent="0.3">
      <c r="A41" s="1">
        <v>40</v>
      </c>
      <c r="B41" s="1" t="s">
        <v>86</v>
      </c>
      <c r="C41" s="1" t="s">
        <v>22</v>
      </c>
      <c r="D41" s="1" t="s">
        <v>87</v>
      </c>
      <c r="E41" s="2">
        <v>45396</v>
      </c>
      <c r="F41" s="4">
        <v>45410</v>
      </c>
      <c r="G41" s="1">
        <v>5</v>
      </c>
      <c r="H41" s="1">
        <v>527</v>
      </c>
      <c r="I41" s="1" t="s">
        <v>14</v>
      </c>
      <c r="J41" s="1" t="s">
        <v>31</v>
      </c>
      <c r="K41" s="1" t="s">
        <v>20</v>
      </c>
      <c r="L41" t="str">
        <f>TEXT(Table2[[#This Row],[Order Date]],"YYY")</f>
        <v>2024</v>
      </c>
      <c r="M41" t="str">
        <f>TEXT(Table2[[#This Row],[Order Date]],"MMM")</f>
        <v>Apr</v>
      </c>
      <c r="N41" t="str">
        <f>TEXT(Table2[[#This Row],[Order Date]],"DDD")</f>
        <v>Sun</v>
      </c>
      <c r="O41">
        <f>DATEDIF(Table2[[#This Row],[Order Date]],Table2[[#This Row],[Delivered Date]],"D")</f>
        <v>14</v>
      </c>
      <c r="P41" s="10">
        <f>ROUND(Table2[[#This Row],[Quantity]]*Table2[[#This Row],[Unit Price]]*VLOOKUP(Table2[[#This Row],[Product Name]],Table_1[#All],2,FALSE),0)</f>
        <v>2108</v>
      </c>
      <c r="Q41" s="10">
        <f>Table2[[#This Row],[Quantity]]*Table2[[#This Row],[Unit Price]]</f>
        <v>2635</v>
      </c>
      <c r="R41" s="10">
        <f>Table2[[#This Row],[Sales Revenue]]-Table2[[#This Row],[Total Cost After Product Percentage Calc]]</f>
        <v>527</v>
      </c>
    </row>
    <row r="42" spans="1:18" ht="14.25" customHeight="1" x14ac:dyDescent="0.3">
      <c r="A42" s="1">
        <v>41</v>
      </c>
      <c r="B42" s="1" t="s">
        <v>88</v>
      </c>
      <c r="C42" s="1" t="s">
        <v>12</v>
      </c>
      <c r="D42" s="1" t="s">
        <v>29</v>
      </c>
      <c r="E42" s="2">
        <v>45433</v>
      </c>
      <c r="F42" s="4">
        <v>45437</v>
      </c>
      <c r="G42" s="1">
        <v>1</v>
      </c>
      <c r="H42" s="1">
        <v>13</v>
      </c>
      <c r="I42" s="1" t="s">
        <v>30</v>
      </c>
      <c r="J42" s="1" t="s">
        <v>52</v>
      </c>
      <c r="K42" s="1" t="s">
        <v>32</v>
      </c>
      <c r="L42" t="str">
        <f>TEXT(Table2[[#This Row],[Order Date]],"YYY")</f>
        <v>2024</v>
      </c>
      <c r="M42" t="str">
        <f>TEXT(Table2[[#This Row],[Order Date]],"MMM")</f>
        <v>May</v>
      </c>
      <c r="N42" t="str">
        <f>TEXT(Table2[[#This Row],[Order Date]],"DDD")</f>
        <v>Tue</v>
      </c>
      <c r="O42">
        <f>DATEDIF(Table2[[#This Row],[Order Date]],Table2[[#This Row],[Delivered Date]],"D")</f>
        <v>4</v>
      </c>
      <c r="P42" s="10">
        <f>ROUND(Table2[[#This Row],[Quantity]]*Table2[[#This Row],[Unit Price]]*VLOOKUP(Table2[[#This Row],[Product Name]],Table_1[#All],2,FALSE),0)</f>
        <v>8</v>
      </c>
      <c r="Q42" s="10">
        <f>Table2[[#This Row],[Quantity]]*Table2[[#This Row],[Unit Price]]</f>
        <v>13</v>
      </c>
      <c r="R42" s="10">
        <f>Table2[[#This Row],[Sales Revenue]]-Table2[[#This Row],[Total Cost After Product Percentage Calc]]</f>
        <v>5</v>
      </c>
    </row>
    <row r="43" spans="1:18" ht="14.25" customHeight="1" x14ac:dyDescent="0.3">
      <c r="A43" s="1">
        <v>42</v>
      </c>
      <c r="B43" s="1" t="s">
        <v>89</v>
      </c>
      <c r="C43" s="1" t="s">
        <v>34</v>
      </c>
      <c r="D43" s="1" t="s">
        <v>45</v>
      </c>
      <c r="E43" s="2">
        <v>45518</v>
      </c>
      <c r="F43" s="4">
        <v>45525</v>
      </c>
      <c r="G43" s="1">
        <v>9</v>
      </c>
      <c r="H43" s="1">
        <v>732</v>
      </c>
      <c r="I43" s="1" t="s">
        <v>14</v>
      </c>
      <c r="J43" s="1" t="s">
        <v>31</v>
      </c>
      <c r="K43" s="1" t="s">
        <v>32</v>
      </c>
      <c r="L43" t="str">
        <f>TEXT(Table2[[#This Row],[Order Date]],"YYY")</f>
        <v>2024</v>
      </c>
      <c r="M43" t="str">
        <f>TEXT(Table2[[#This Row],[Order Date]],"MMM")</f>
        <v>Aug</v>
      </c>
      <c r="N43" t="str">
        <f>TEXT(Table2[[#This Row],[Order Date]],"DDD")</f>
        <v>Wed</v>
      </c>
      <c r="O43">
        <f>DATEDIF(Table2[[#This Row],[Order Date]],Table2[[#This Row],[Delivered Date]],"D")</f>
        <v>7</v>
      </c>
      <c r="P43" s="10">
        <f>ROUND(Table2[[#This Row],[Quantity]]*Table2[[#This Row],[Unit Price]]*VLOOKUP(Table2[[#This Row],[Product Name]],Table_1[#All],2,FALSE),0)</f>
        <v>4282</v>
      </c>
      <c r="Q43" s="10">
        <f>Table2[[#This Row],[Quantity]]*Table2[[#This Row],[Unit Price]]</f>
        <v>6588</v>
      </c>
      <c r="R43" s="10">
        <f>Table2[[#This Row],[Sales Revenue]]-Table2[[#This Row],[Total Cost After Product Percentage Calc]]</f>
        <v>2306</v>
      </c>
    </row>
    <row r="44" spans="1:18" ht="14.25" customHeight="1" x14ac:dyDescent="0.3">
      <c r="A44" s="1">
        <v>43</v>
      </c>
      <c r="B44" s="1" t="s">
        <v>90</v>
      </c>
      <c r="C44" s="1" t="s">
        <v>12</v>
      </c>
      <c r="D44" s="1" t="s">
        <v>13</v>
      </c>
      <c r="E44" s="2">
        <v>45645</v>
      </c>
      <c r="F44" s="4">
        <v>45651</v>
      </c>
      <c r="G44" s="1">
        <v>3</v>
      </c>
      <c r="H44" s="1">
        <v>568</v>
      </c>
      <c r="I44" s="1" t="s">
        <v>30</v>
      </c>
      <c r="J44" s="1" t="s">
        <v>15</v>
      </c>
      <c r="K44" s="1" t="s">
        <v>49</v>
      </c>
      <c r="L44" t="str">
        <f>TEXT(Table2[[#This Row],[Order Date]],"YYY")</f>
        <v>2024</v>
      </c>
      <c r="M44" t="str">
        <f>TEXT(Table2[[#This Row],[Order Date]],"MMM")</f>
        <v>Dec</v>
      </c>
      <c r="N44" t="str">
        <f>TEXT(Table2[[#This Row],[Order Date]],"DDD")</f>
        <v>Thu</v>
      </c>
      <c r="O44">
        <f>DATEDIF(Table2[[#This Row],[Order Date]],Table2[[#This Row],[Delivered Date]],"D")</f>
        <v>6</v>
      </c>
      <c r="P44" s="10">
        <f>ROUND(Table2[[#This Row],[Quantity]]*Table2[[#This Row],[Unit Price]]*VLOOKUP(Table2[[#This Row],[Product Name]],Table_1[#All],2,FALSE),0)</f>
        <v>1278</v>
      </c>
      <c r="Q44" s="10">
        <f>Table2[[#This Row],[Quantity]]*Table2[[#This Row],[Unit Price]]</f>
        <v>1704</v>
      </c>
      <c r="R44" s="10">
        <f>Table2[[#This Row],[Sales Revenue]]-Table2[[#This Row],[Total Cost After Product Percentage Calc]]</f>
        <v>426</v>
      </c>
    </row>
    <row r="45" spans="1:18" ht="14.25" customHeight="1" x14ac:dyDescent="0.3">
      <c r="A45" s="1">
        <v>44</v>
      </c>
      <c r="B45" s="1" t="s">
        <v>91</v>
      </c>
      <c r="C45" s="1" t="s">
        <v>18</v>
      </c>
      <c r="D45" s="1" t="s">
        <v>68</v>
      </c>
      <c r="E45" s="2">
        <v>45512</v>
      </c>
      <c r="F45" s="4">
        <v>45516</v>
      </c>
      <c r="G45" s="1">
        <v>3</v>
      </c>
      <c r="H45" s="1">
        <v>52</v>
      </c>
      <c r="I45" s="1" t="s">
        <v>14</v>
      </c>
      <c r="J45" s="1" t="s">
        <v>52</v>
      </c>
      <c r="K45" s="1" t="s">
        <v>49</v>
      </c>
      <c r="L45" t="str">
        <f>TEXT(Table2[[#This Row],[Order Date]],"YYY")</f>
        <v>2024</v>
      </c>
      <c r="M45" t="str">
        <f>TEXT(Table2[[#This Row],[Order Date]],"MMM")</f>
        <v>Aug</v>
      </c>
      <c r="N45" t="str">
        <f>TEXT(Table2[[#This Row],[Order Date]],"DDD")</f>
        <v>Thu</v>
      </c>
      <c r="O45">
        <f>DATEDIF(Table2[[#This Row],[Order Date]],Table2[[#This Row],[Delivered Date]],"D")</f>
        <v>4</v>
      </c>
      <c r="P45" s="10">
        <f>ROUND(Table2[[#This Row],[Quantity]]*Table2[[#This Row],[Unit Price]]*VLOOKUP(Table2[[#This Row],[Product Name]],Table_1[#All],2,FALSE),0)</f>
        <v>78</v>
      </c>
      <c r="Q45" s="10">
        <f>Table2[[#This Row],[Quantity]]*Table2[[#This Row],[Unit Price]]</f>
        <v>156</v>
      </c>
      <c r="R45" s="10">
        <f>Table2[[#This Row],[Sales Revenue]]-Table2[[#This Row],[Total Cost After Product Percentage Calc]]</f>
        <v>78</v>
      </c>
    </row>
    <row r="46" spans="1:18" ht="14.25" customHeight="1" x14ac:dyDescent="0.3">
      <c r="A46" s="1">
        <v>45</v>
      </c>
      <c r="B46" s="1" t="s">
        <v>92</v>
      </c>
      <c r="C46" s="1" t="s">
        <v>34</v>
      </c>
      <c r="D46" s="1" t="s">
        <v>45</v>
      </c>
      <c r="E46" s="2">
        <v>45641</v>
      </c>
      <c r="F46" s="4">
        <v>45652</v>
      </c>
      <c r="G46" s="1">
        <v>4</v>
      </c>
      <c r="H46" s="1">
        <v>692</v>
      </c>
      <c r="I46" s="1" t="s">
        <v>30</v>
      </c>
      <c r="J46" s="1" t="s">
        <v>15</v>
      </c>
      <c r="K46" s="1" t="s">
        <v>20</v>
      </c>
      <c r="L46" t="str">
        <f>TEXT(Table2[[#This Row],[Order Date]],"YYY")</f>
        <v>2024</v>
      </c>
      <c r="M46" t="str">
        <f>TEXT(Table2[[#This Row],[Order Date]],"MMM")</f>
        <v>Dec</v>
      </c>
      <c r="N46" t="str">
        <f>TEXT(Table2[[#This Row],[Order Date]],"DDD")</f>
        <v>Sun</v>
      </c>
      <c r="O46">
        <f>DATEDIF(Table2[[#This Row],[Order Date]],Table2[[#This Row],[Delivered Date]],"D")</f>
        <v>11</v>
      </c>
      <c r="P46" s="10">
        <f>ROUND(Table2[[#This Row],[Quantity]]*Table2[[#This Row],[Unit Price]]*VLOOKUP(Table2[[#This Row],[Product Name]],Table_1[#All],2,FALSE),0)</f>
        <v>1799</v>
      </c>
      <c r="Q46" s="10">
        <f>Table2[[#This Row],[Quantity]]*Table2[[#This Row],[Unit Price]]</f>
        <v>2768</v>
      </c>
      <c r="R46" s="10">
        <f>Table2[[#This Row],[Sales Revenue]]-Table2[[#This Row],[Total Cost After Product Percentage Calc]]</f>
        <v>969</v>
      </c>
    </row>
    <row r="47" spans="1:18" ht="14.25" customHeight="1" x14ac:dyDescent="0.3">
      <c r="A47" s="1">
        <v>46</v>
      </c>
      <c r="B47" s="1" t="s">
        <v>93</v>
      </c>
      <c r="C47" s="1" t="s">
        <v>22</v>
      </c>
      <c r="D47" s="1" t="s">
        <v>43</v>
      </c>
      <c r="E47" s="2">
        <v>45487</v>
      </c>
      <c r="F47" s="4">
        <v>45495</v>
      </c>
      <c r="G47" s="1">
        <v>1</v>
      </c>
      <c r="H47" s="1">
        <v>889</v>
      </c>
      <c r="I47" s="1" t="s">
        <v>14</v>
      </c>
      <c r="J47" s="1" t="s">
        <v>31</v>
      </c>
      <c r="K47" s="1" t="s">
        <v>16</v>
      </c>
      <c r="L47" t="str">
        <f>TEXT(Table2[[#This Row],[Order Date]],"YYY")</f>
        <v>2024</v>
      </c>
      <c r="M47" t="str">
        <f>TEXT(Table2[[#This Row],[Order Date]],"MMM")</f>
        <v>Jul</v>
      </c>
      <c r="N47" t="str">
        <f>TEXT(Table2[[#This Row],[Order Date]],"DDD")</f>
        <v>Sun</v>
      </c>
      <c r="O47">
        <f>DATEDIF(Table2[[#This Row],[Order Date]],Table2[[#This Row],[Delivered Date]],"D")</f>
        <v>8</v>
      </c>
      <c r="P47" s="10">
        <f>ROUND(Table2[[#This Row],[Quantity]]*Table2[[#This Row],[Unit Price]]*VLOOKUP(Table2[[#This Row],[Product Name]],Table_1[#All],2,FALSE),0)</f>
        <v>578</v>
      </c>
      <c r="Q47" s="10">
        <f>Table2[[#This Row],[Quantity]]*Table2[[#This Row],[Unit Price]]</f>
        <v>889</v>
      </c>
      <c r="R47" s="10">
        <f>Table2[[#This Row],[Sales Revenue]]-Table2[[#This Row],[Total Cost After Product Percentage Calc]]</f>
        <v>311</v>
      </c>
    </row>
    <row r="48" spans="1:18" ht="14.25" customHeight="1" x14ac:dyDescent="0.3">
      <c r="A48" s="1">
        <v>47</v>
      </c>
      <c r="B48" s="1" t="s">
        <v>94</v>
      </c>
      <c r="C48" s="1" t="s">
        <v>18</v>
      </c>
      <c r="D48" s="1" t="s">
        <v>60</v>
      </c>
      <c r="E48" s="2">
        <v>45306</v>
      </c>
      <c r="F48" s="4">
        <v>45309</v>
      </c>
      <c r="G48" s="1">
        <v>2</v>
      </c>
      <c r="H48" s="1">
        <v>908</v>
      </c>
      <c r="I48" s="1" t="s">
        <v>30</v>
      </c>
      <c r="J48" s="1" t="s">
        <v>52</v>
      </c>
      <c r="K48" s="1" t="s">
        <v>49</v>
      </c>
      <c r="L48" t="str">
        <f>TEXT(Table2[[#This Row],[Order Date]],"YYY")</f>
        <v>2024</v>
      </c>
      <c r="M48" t="str">
        <f>TEXT(Table2[[#This Row],[Order Date]],"MMM")</f>
        <v>Jan</v>
      </c>
      <c r="N48" t="str">
        <f>TEXT(Table2[[#This Row],[Order Date]],"DDD")</f>
        <v>Mon</v>
      </c>
      <c r="O48">
        <f>DATEDIF(Table2[[#This Row],[Order Date]],Table2[[#This Row],[Delivered Date]],"D")</f>
        <v>3</v>
      </c>
      <c r="P48" s="10">
        <f>ROUND(Table2[[#This Row],[Quantity]]*Table2[[#This Row],[Unit Price]]*VLOOKUP(Table2[[#This Row],[Product Name]],Table_1[#All],2,FALSE),0)</f>
        <v>999</v>
      </c>
      <c r="Q48" s="10">
        <f>Table2[[#This Row],[Quantity]]*Table2[[#This Row],[Unit Price]]</f>
        <v>1816</v>
      </c>
      <c r="R48" s="10">
        <f>Table2[[#This Row],[Sales Revenue]]-Table2[[#This Row],[Total Cost After Product Percentage Calc]]</f>
        <v>817</v>
      </c>
    </row>
    <row r="49" spans="1:18" ht="14.25" customHeight="1" x14ac:dyDescent="0.3">
      <c r="A49" s="1">
        <v>48</v>
      </c>
      <c r="B49" s="1" t="s">
        <v>95</v>
      </c>
      <c r="C49" s="1" t="s">
        <v>12</v>
      </c>
      <c r="D49" s="1" t="s">
        <v>29</v>
      </c>
      <c r="E49" s="2">
        <v>45292</v>
      </c>
      <c r="F49" s="4">
        <v>45306</v>
      </c>
      <c r="G49" s="1">
        <v>9</v>
      </c>
      <c r="H49" s="1">
        <v>957</v>
      </c>
      <c r="I49" s="1" t="s">
        <v>30</v>
      </c>
      <c r="J49" s="1" t="s">
        <v>24</v>
      </c>
      <c r="K49" s="1" t="s">
        <v>49</v>
      </c>
      <c r="L49" t="str">
        <f>TEXT(Table2[[#This Row],[Order Date]],"YYY")</f>
        <v>2024</v>
      </c>
      <c r="M49" t="str">
        <f>TEXT(Table2[[#This Row],[Order Date]],"MMM")</f>
        <v>Jan</v>
      </c>
      <c r="N49" t="str">
        <f>TEXT(Table2[[#This Row],[Order Date]],"DDD")</f>
        <v>Mon</v>
      </c>
      <c r="O49">
        <f>DATEDIF(Table2[[#This Row],[Order Date]],Table2[[#This Row],[Delivered Date]],"D")</f>
        <v>14</v>
      </c>
      <c r="P49" s="10">
        <f>ROUND(Table2[[#This Row],[Quantity]]*Table2[[#This Row],[Unit Price]]*VLOOKUP(Table2[[#This Row],[Product Name]],Table_1[#All],2,FALSE),0)</f>
        <v>5598</v>
      </c>
      <c r="Q49" s="10">
        <f>Table2[[#This Row],[Quantity]]*Table2[[#This Row],[Unit Price]]</f>
        <v>8613</v>
      </c>
      <c r="R49" s="10">
        <f>Table2[[#This Row],[Sales Revenue]]-Table2[[#This Row],[Total Cost After Product Percentage Calc]]</f>
        <v>3015</v>
      </c>
    </row>
    <row r="50" spans="1:18" ht="14.25" customHeight="1" x14ac:dyDescent="0.3">
      <c r="A50" s="1">
        <v>49</v>
      </c>
      <c r="B50" s="1" t="s">
        <v>96</v>
      </c>
      <c r="C50" s="1" t="s">
        <v>22</v>
      </c>
      <c r="D50" s="1" t="s">
        <v>87</v>
      </c>
      <c r="E50" s="2">
        <v>45512</v>
      </c>
      <c r="F50" s="4">
        <v>45519</v>
      </c>
      <c r="G50" s="1">
        <v>2</v>
      </c>
      <c r="H50" s="1">
        <v>981</v>
      </c>
      <c r="I50" s="1" t="s">
        <v>30</v>
      </c>
      <c r="J50" s="1" t="s">
        <v>36</v>
      </c>
      <c r="K50" s="1" t="s">
        <v>20</v>
      </c>
      <c r="L50" t="str">
        <f>TEXT(Table2[[#This Row],[Order Date]],"YYY")</f>
        <v>2024</v>
      </c>
      <c r="M50" t="str">
        <f>TEXT(Table2[[#This Row],[Order Date]],"MMM")</f>
        <v>Aug</v>
      </c>
      <c r="N50" t="str">
        <f>TEXT(Table2[[#This Row],[Order Date]],"DDD")</f>
        <v>Thu</v>
      </c>
      <c r="O50">
        <f>DATEDIF(Table2[[#This Row],[Order Date]],Table2[[#This Row],[Delivered Date]],"D")</f>
        <v>7</v>
      </c>
      <c r="P50" s="10">
        <f>ROUND(Table2[[#This Row],[Quantity]]*Table2[[#This Row],[Unit Price]]*VLOOKUP(Table2[[#This Row],[Product Name]],Table_1[#All],2,FALSE),0)</f>
        <v>1570</v>
      </c>
      <c r="Q50" s="10">
        <f>Table2[[#This Row],[Quantity]]*Table2[[#This Row],[Unit Price]]</f>
        <v>1962</v>
      </c>
      <c r="R50" s="10">
        <f>Table2[[#This Row],[Sales Revenue]]-Table2[[#This Row],[Total Cost After Product Percentage Calc]]</f>
        <v>392</v>
      </c>
    </row>
    <row r="51" spans="1:18" ht="14.25" customHeight="1" x14ac:dyDescent="0.3">
      <c r="A51" s="1">
        <v>50</v>
      </c>
      <c r="B51" s="1" t="s">
        <v>97</v>
      </c>
      <c r="C51" s="1" t="s">
        <v>26</v>
      </c>
      <c r="D51" s="1" t="s">
        <v>27</v>
      </c>
      <c r="E51" s="2">
        <v>45575</v>
      </c>
      <c r="F51" s="4">
        <v>45578</v>
      </c>
      <c r="G51" s="1">
        <v>3</v>
      </c>
      <c r="H51" s="1">
        <v>206</v>
      </c>
      <c r="I51" s="1" t="s">
        <v>30</v>
      </c>
      <c r="J51" s="1" t="s">
        <v>31</v>
      </c>
      <c r="K51" s="1" t="s">
        <v>20</v>
      </c>
      <c r="L51" t="str">
        <f>TEXT(Table2[[#This Row],[Order Date]],"YYY")</f>
        <v>2024</v>
      </c>
      <c r="M51" t="str">
        <f>TEXT(Table2[[#This Row],[Order Date]],"MMM")</f>
        <v>Oct</v>
      </c>
      <c r="N51" t="str">
        <f>TEXT(Table2[[#This Row],[Order Date]],"DDD")</f>
        <v>Thu</v>
      </c>
      <c r="O51">
        <f>DATEDIF(Table2[[#This Row],[Order Date]],Table2[[#This Row],[Delivered Date]],"D")</f>
        <v>3</v>
      </c>
      <c r="P51" s="10">
        <f>ROUND(Table2[[#This Row],[Quantity]]*Table2[[#This Row],[Unit Price]]*VLOOKUP(Table2[[#This Row],[Product Name]],Table_1[#All],2,FALSE),0)</f>
        <v>340</v>
      </c>
      <c r="Q51" s="10">
        <f>Table2[[#This Row],[Quantity]]*Table2[[#This Row],[Unit Price]]</f>
        <v>618</v>
      </c>
      <c r="R51" s="10">
        <f>Table2[[#This Row],[Sales Revenue]]-Table2[[#This Row],[Total Cost After Product Percentage Calc]]</f>
        <v>278</v>
      </c>
    </row>
    <row r="52" spans="1:18" ht="14.25" customHeight="1" x14ac:dyDescent="0.3">
      <c r="A52" s="1">
        <v>51</v>
      </c>
      <c r="B52" s="1" t="s">
        <v>98</v>
      </c>
      <c r="C52" s="1" t="s">
        <v>26</v>
      </c>
      <c r="D52" s="1" t="s">
        <v>41</v>
      </c>
      <c r="E52" s="2">
        <v>45637</v>
      </c>
      <c r="F52" s="4">
        <v>45647</v>
      </c>
      <c r="G52" s="1">
        <v>4</v>
      </c>
      <c r="H52" s="1">
        <v>533</v>
      </c>
      <c r="I52" s="1" t="s">
        <v>30</v>
      </c>
      <c r="J52" s="1" t="s">
        <v>31</v>
      </c>
      <c r="K52" s="1" t="s">
        <v>49</v>
      </c>
      <c r="L52" t="str">
        <f>TEXT(Table2[[#This Row],[Order Date]],"YYY")</f>
        <v>2024</v>
      </c>
      <c r="M52" t="str">
        <f>TEXT(Table2[[#This Row],[Order Date]],"MMM")</f>
        <v>Dec</v>
      </c>
      <c r="N52" t="str">
        <f>TEXT(Table2[[#This Row],[Order Date]],"DDD")</f>
        <v>Wed</v>
      </c>
      <c r="O52">
        <f>DATEDIF(Table2[[#This Row],[Order Date]],Table2[[#This Row],[Delivered Date]],"D")</f>
        <v>10</v>
      </c>
      <c r="P52" s="10">
        <f>ROUND(Table2[[#This Row],[Quantity]]*Table2[[#This Row],[Unit Price]]*VLOOKUP(Table2[[#This Row],[Product Name]],Table_1[#All],2,FALSE),0)</f>
        <v>1066</v>
      </c>
      <c r="Q52" s="10">
        <f>Table2[[#This Row],[Quantity]]*Table2[[#This Row],[Unit Price]]</f>
        <v>2132</v>
      </c>
      <c r="R52" s="10">
        <f>Table2[[#This Row],[Sales Revenue]]-Table2[[#This Row],[Total Cost After Product Percentage Calc]]</f>
        <v>1066</v>
      </c>
    </row>
    <row r="53" spans="1:18" ht="14.25" customHeight="1" x14ac:dyDescent="0.3">
      <c r="A53" s="1">
        <v>52</v>
      </c>
      <c r="B53" s="1" t="s">
        <v>99</v>
      </c>
      <c r="C53" s="1" t="s">
        <v>12</v>
      </c>
      <c r="D53" s="1" t="s">
        <v>100</v>
      </c>
      <c r="E53" s="2">
        <v>45555</v>
      </c>
      <c r="F53" s="4">
        <v>45562</v>
      </c>
      <c r="G53" s="1">
        <v>10</v>
      </c>
      <c r="H53" s="1">
        <v>353</v>
      </c>
      <c r="I53" s="1" t="s">
        <v>30</v>
      </c>
      <c r="J53" s="1" t="s">
        <v>15</v>
      </c>
      <c r="K53" s="1" t="s">
        <v>49</v>
      </c>
      <c r="L53" t="str">
        <f>TEXT(Table2[[#This Row],[Order Date]],"YYY")</f>
        <v>2024</v>
      </c>
      <c r="M53" t="str">
        <f>TEXT(Table2[[#This Row],[Order Date]],"MMM")</f>
        <v>Sep</v>
      </c>
      <c r="N53" t="str">
        <f>TEXT(Table2[[#This Row],[Order Date]],"DDD")</f>
        <v>Fri</v>
      </c>
      <c r="O53">
        <f>DATEDIF(Table2[[#This Row],[Order Date]],Table2[[#This Row],[Delivered Date]],"D")</f>
        <v>7</v>
      </c>
      <c r="P53" s="10">
        <f>ROUND(Table2[[#This Row],[Quantity]]*Table2[[#This Row],[Unit Price]]*VLOOKUP(Table2[[#This Row],[Product Name]],Table_1[#All],2,FALSE),0)</f>
        <v>2471</v>
      </c>
      <c r="Q53" s="10">
        <f>Table2[[#This Row],[Quantity]]*Table2[[#This Row],[Unit Price]]</f>
        <v>3530</v>
      </c>
      <c r="R53" s="10">
        <f>Table2[[#This Row],[Sales Revenue]]-Table2[[#This Row],[Total Cost After Product Percentage Calc]]</f>
        <v>1059</v>
      </c>
    </row>
    <row r="54" spans="1:18" ht="14.25" customHeight="1" x14ac:dyDescent="0.3">
      <c r="A54" s="1">
        <v>53</v>
      </c>
      <c r="B54" s="1" t="s">
        <v>101</v>
      </c>
      <c r="C54" s="1" t="s">
        <v>18</v>
      </c>
      <c r="D54" s="1" t="s">
        <v>19</v>
      </c>
      <c r="E54" s="2">
        <v>45525</v>
      </c>
      <c r="F54" s="4">
        <v>45536</v>
      </c>
      <c r="G54" s="1">
        <v>7</v>
      </c>
      <c r="H54" s="1">
        <v>917</v>
      </c>
      <c r="I54" s="1" t="s">
        <v>14</v>
      </c>
      <c r="J54" s="1" t="s">
        <v>36</v>
      </c>
      <c r="K54" s="1" t="s">
        <v>16</v>
      </c>
      <c r="L54" t="str">
        <f>TEXT(Table2[[#This Row],[Order Date]],"YYY")</f>
        <v>2024</v>
      </c>
      <c r="M54" t="str">
        <f>TEXT(Table2[[#This Row],[Order Date]],"MMM")</f>
        <v>Aug</v>
      </c>
      <c r="N54" t="str">
        <f>TEXT(Table2[[#This Row],[Order Date]],"DDD")</f>
        <v>Wed</v>
      </c>
      <c r="O54">
        <f>DATEDIF(Table2[[#This Row],[Order Date]],Table2[[#This Row],[Delivered Date]],"D")</f>
        <v>11</v>
      </c>
      <c r="P54" s="10">
        <f>ROUND(Table2[[#This Row],[Quantity]]*Table2[[#This Row],[Unit Price]]*VLOOKUP(Table2[[#This Row],[Product Name]],Table_1[#All],2,FALSE),0)</f>
        <v>3210</v>
      </c>
      <c r="Q54" s="10">
        <f>Table2[[#This Row],[Quantity]]*Table2[[#This Row],[Unit Price]]</f>
        <v>6419</v>
      </c>
      <c r="R54" s="10">
        <f>Table2[[#This Row],[Sales Revenue]]-Table2[[#This Row],[Total Cost After Product Percentage Calc]]</f>
        <v>3209</v>
      </c>
    </row>
    <row r="55" spans="1:18" ht="14.25" customHeight="1" x14ac:dyDescent="0.3">
      <c r="A55" s="1">
        <v>54</v>
      </c>
      <c r="B55" s="1" t="s">
        <v>102</v>
      </c>
      <c r="C55" s="1" t="s">
        <v>26</v>
      </c>
      <c r="D55" s="1" t="s">
        <v>41</v>
      </c>
      <c r="E55" s="2">
        <v>45496</v>
      </c>
      <c r="F55" s="4">
        <v>45502</v>
      </c>
      <c r="G55" s="1">
        <v>4</v>
      </c>
      <c r="H55" s="1">
        <v>161</v>
      </c>
      <c r="I55" s="1" t="s">
        <v>14</v>
      </c>
      <c r="J55" s="1" t="s">
        <v>36</v>
      </c>
      <c r="K55" s="1" t="s">
        <v>49</v>
      </c>
      <c r="L55" t="str">
        <f>TEXT(Table2[[#This Row],[Order Date]],"YYY")</f>
        <v>2024</v>
      </c>
      <c r="M55" t="str">
        <f>TEXT(Table2[[#This Row],[Order Date]],"MMM")</f>
        <v>Jul</v>
      </c>
      <c r="N55" t="str">
        <f>TEXT(Table2[[#This Row],[Order Date]],"DDD")</f>
        <v>Tue</v>
      </c>
      <c r="O55">
        <f>DATEDIF(Table2[[#This Row],[Order Date]],Table2[[#This Row],[Delivered Date]],"D")</f>
        <v>6</v>
      </c>
      <c r="P55" s="10">
        <f>ROUND(Table2[[#This Row],[Quantity]]*Table2[[#This Row],[Unit Price]]*VLOOKUP(Table2[[#This Row],[Product Name]],Table_1[#All],2,FALSE),0)</f>
        <v>322</v>
      </c>
      <c r="Q55" s="10">
        <f>Table2[[#This Row],[Quantity]]*Table2[[#This Row],[Unit Price]]</f>
        <v>644</v>
      </c>
      <c r="R55" s="10">
        <f>Table2[[#This Row],[Sales Revenue]]-Table2[[#This Row],[Total Cost After Product Percentage Calc]]</f>
        <v>322</v>
      </c>
    </row>
    <row r="56" spans="1:18" ht="14.25" customHeight="1" x14ac:dyDescent="0.3">
      <c r="A56" s="1">
        <v>55</v>
      </c>
      <c r="B56" s="1" t="s">
        <v>103</v>
      </c>
      <c r="C56" s="1" t="s">
        <v>26</v>
      </c>
      <c r="D56" s="1" t="s">
        <v>104</v>
      </c>
      <c r="E56" s="2">
        <v>45382</v>
      </c>
      <c r="F56" s="4">
        <v>45387</v>
      </c>
      <c r="G56" s="1">
        <v>9</v>
      </c>
      <c r="H56" s="1">
        <v>485</v>
      </c>
      <c r="I56" s="1" t="s">
        <v>14</v>
      </c>
      <c r="J56" s="1" t="s">
        <v>15</v>
      </c>
      <c r="K56" s="1" t="s">
        <v>20</v>
      </c>
      <c r="L56" t="str">
        <f>TEXT(Table2[[#This Row],[Order Date]],"YYY")</f>
        <v>2024</v>
      </c>
      <c r="M56" t="str">
        <f>TEXT(Table2[[#This Row],[Order Date]],"MMM")</f>
        <v>Mar</v>
      </c>
      <c r="N56" t="str">
        <f>TEXT(Table2[[#This Row],[Order Date]],"DDD")</f>
        <v>Sun</v>
      </c>
      <c r="O56">
        <f>DATEDIF(Table2[[#This Row],[Order Date]],Table2[[#This Row],[Delivered Date]],"D")</f>
        <v>5</v>
      </c>
      <c r="P56" s="10">
        <f>ROUND(Table2[[#This Row],[Quantity]]*Table2[[#This Row],[Unit Price]]*VLOOKUP(Table2[[#This Row],[Product Name]],Table_1[#All],2,FALSE),0)</f>
        <v>2619</v>
      </c>
      <c r="Q56" s="10">
        <f>Table2[[#This Row],[Quantity]]*Table2[[#This Row],[Unit Price]]</f>
        <v>4365</v>
      </c>
      <c r="R56" s="10">
        <f>Table2[[#This Row],[Sales Revenue]]-Table2[[#This Row],[Total Cost After Product Percentage Calc]]</f>
        <v>1746</v>
      </c>
    </row>
    <row r="57" spans="1:18" ht="14.25" customHeight="1" x14ac:dyDescent="0.3">
      <c r="A57" s="1">
        <v>56</v>
      </c>
      <c r="B57" s="1" t="s">
        <v>105</v>
      </c>
      <c r="C57" s="1" t="s">
        <v>12</v>
      </c>
      <c r="D57" s="1" t="s">
        <v>29</v>
      </c>
      <c r="E57" s="2">
        <v>45360</v>
      </c>
      <c r="F57" s="4">
        <v>45364</v>
      </c>
      <c r="G57" s="1">
        <v>8</v>
      </c>
      <c r="H57" s="1">
        <v>693</v>
      </c>
      <c r="I57" s="1" t="s">
        <v>30</v>
      </c>
      <c r="J57" s="1" t="s">
        <v>36</v>
      </c>
      <c r="K57" s="1" t="s">
        <v>16</v>
      </c>
      <c r="L57" t="str">
        <f>TEXT(Table2[[#This Row],[Order Date]],"YYY")</f>
        <v>2024</v>
      </c>
      <c r="M57" t="str">
        <f>TEXT(Table2[[#This Row],[Order Date]],"MMM")</f>
        <v>Mar</v>
      </c>
      <c r="N57" t="str">
        <f>TEXT(Table2[[#This Row],[Order Date]],"DDD")</f>
        <v>Sat</v>
      </c>
      <c r="O57">
        <f>DATEDIF(Table2[[#This Row],[Order Date]],Table2[[#This Row],[Delivered Date]],"D")</f>
        <v>4</v>
      </c>
      <c r="P57" s="10">
        <f>ROUND(Table2[[#This Row],[Quantity]]*Table2[[#This Row],[Unit Price]]*VLOOKUP(Table2[[#This Row],[Product Name]],Table_1[#All],2,FALSE),0)</f>
        <v>3604</v>
      </c>
      <c r="Q57" s="10">
        <f>Table2[[#This Row],[Quantity]]*Table2[[#This Row],[Unit Price]]</f>
        <v>5544</v>
      </c>
      <c r="R57" s="10">
        <f>Table2[[#This Row],[Sales Revenue]]-Table2[[#This Row],[Total Cost After Product Percentage Calc]]</f>
        <v>1940</v>
      </c>
    </row>
    <row r="58" spans="1:18" ht="14.25" customHeight="1" x14ac:dyDescent="0.3">
      <c r="A58" s="1">
        <v>57</v>
      </c>
      <c r="B58" s="1" t="s">
        <v>106</v>
      </c>
      <c r="C58" s="1" t="s">
        <v>22</v>
      </c>
      <c r="D58" s="1" t="s">
        <v>23</v>
      </c>
      <c r="E58" s="2">
        <v>45522</v>
      </c>
      <c r="F58" s="4">
        <v>45532</v>
      </c>
      <c r="G58" s="1">
        <v>5</v>
      </c>
      <c r="H58" s="1">
        <v>779</v>
      </c>
      <c r="I58" s="1" t="s">
        <v>30</v>
      </c>
      <c r="J58" s="1" t="s">
        <v>15</v>
      </c>
      <c r="K58" s="1" t="s">
        <v>32</v>
      </c>
      <c r="L58" t="str">
        <f>TEXT(Table2[[#This Row],[Order Date]],"YYY")</f>
        <v>2024</v>
      </c>
      <c r="M58" t="str">
        <f>TEXT(Table2[[#This Row],[Order Date]],"MMM")</f>
        <v>Aug</v>
      </c>
      <c r="N58" t="str">
        <f>TEXT(Table2[[#This Row],[Order Date]],"DDD")</f>
        <v>Sun</v>
      </c>
      <c r="O58">
        <f>DATEDIF(Table2[[#This Row],[Order Date]],Table2[[#This Row],[Delivered Date]],"D")</f>
        <v>10</v>
      </c>
      <c r="P58" s="10">
        <f>ROUND(Table2[[#This Row],[Quantity]]*Table2[[#This Row],[Unit Price]]*VLOOKUP(Table2[[#This Row],[Product Name]],Table_1[#All],2,FALSE),0)</f>
        <v>2921</v>
      </c>
      <c r="Q58" s="10">
        <f>Table2[[#This Row],[Quantity]]*Table2[[#This Row],[Unit Price]]</f>
        <v>3895</v>
      </c>
      <c r="R58" s="10">
        <f>Table2[[#This Row],[Sales Revenue]]-Table2[[#This Row],[Total Cost After Product Percentage Calc]]</f>
        <v>974</v>
      </c>
    </row>
    <row r="59" spans="1:18" ht="14.25" customHeight="1" x14ac:dyDescent="0.3">
      <c r="A59" s="1">
        <v>58</v>
      </c>
      <c r="B59" s="1" t="s">
        <v>107</v>
      </c>
      <c r="C59" s="1" t="s">
        <v>26</v>
      </c>
      <c r="D59" s="1" t="s">
        <v>104</v>
      </c>
      <c r="E59" s="2">
        <v>45432</v>
      </c>
      <c r="F59" s="4">
        <v>45443</v>
      </c>
      <c r="G59" s="1">
        <v>8</v>
      </c>
      <c r="H59" s="1">
        <v>89</v>
      </c>
      <c r="I59" s="1" t="s">
        <v>14</v>
      </c>
      <c r="J59" s="1" t="s">
        <v>36</v>
      </c>
      <c r="K59" s="1" t="s">
        <v>20</v>
      </c>
      <c r="L59" t="str">
        <f>TEXT(Table2[[#This Row],[Order Date]],"YYY")</f>
        <v>2024</v>
      </c>
      <c r="M59" t="str">
        <f>TEXT(Table2[[#This Row],[Order Date]],"MMM")</f>
        <v>May</v>
      </c>
      <c r="N59" t="str">
        <f>TEXT(Table2[[#This Row],[Order Date]],"DDD")</f>
        <v>Mon</v>
      </c>
      <c r="O59">
        <f>DATEDIF(Table2[[#This Row],[Order Date]],Table2[[#This Row],[Delivered Date]],"D")</f>
        <v>11</v>
      </c>
      <c r="P59" s="10">
        <f>ROUND(Table2[[#This Row],[Quantity]]*Table2[[#This Row],[Unit Price]]*VLOOKUP(Table2[[#This Row],[Product Name]],Table_1[#All],2,FALSE),0)</f>
        <v>427</v>
      </c>
      <c r="Q59" s="10">
        <f>Table2[[#This Row],[Quantity]]*Table2[[#This Row],[Unit Price]]</f>
        <v>712</v>
      </c>
      <c r="R59" s="10">
        <f>Table2[[#This Row],[Sales Revenue]]-Table2[[#This Row],[Total Cost After Product Percentage Calc]]</f>
        <v>285</v>
      </c>
    </row>
    <row r="60" spans="1:18" ht="14.25" customHeight="1" x14ac:dyDescent="0.3">
      <c r="A60" s="1">
        <v>59</v>
      </c>
      <c r="B60" s="1" t="s">
        <v>108</v>
      </c>
      <c r="C60" s="1" t="s">
        <v>34</v>
      </c>
      <c r="D60" s="1" t="s">
        <v>83</v>
      </c>
      <c r="E60" s="2">
        <v>45455</v>
      </c>
      <c r="F60" s="4">
        <v>45459</v>
      </c>
      <c r="G60" s="1">
        <v>9</v>
      </c>
      <c r="H60" s="1">
        <v>92</v>
      </c>
      <c r="I60" s="1" t="s">
        <v>14</v>
      </c>
      <c r="J60" s="1" t="s">
        <v>15</v>
      </c>
      <c r="K60" s="1" t="s">
        <v>20</v>
      </c>
      <c r="L60" t="str">
        <f>TEXT(Table2[[#This Row],[Order Date]],"YYY")</f>
        <v>2024</v>
      </c>
      <c r="M60" t="str">
        <f>TEXT(Table2[[#This Row],[Order Date]],"MMM")</f>
        <v>Jun</v>
      </c>
      <c r="N60" t="str">
        <f>TEXT(Table2[[#This Row],[Order Date]],"DDD")</f>
        <v>Wed</v>
      </c>
      <c r="O60">
        <f>DATEDIF(Table2[[#This Row],[Order Date]],Table2[[#This Row],[Delivered Date]],"D")</f>
        <v>4</v>
      </c>
      <c r="P60" s="10">
        <f>ROUND(Table2[[#This Row],[Quantity]]*Table2[[#This Row],[Unit Price]]*VLOOKUP(Table2[[#This Row],[Product Name]],Table_1[#All],2,FALSE),0)</f>
        <v>538</v>
      </c>
      <c r="Q60" s="10">
        <f>Table2[[#This Row],[Quantity]]*Table2[[#This Row],[Unit Price]]</f>
        <v>828</v>
      </c>
      <c r="R60" s="10">
        <f>Table2[[#This Row],[Sales Revenue]]-Table2[[#This Row],[Total Cost After Product Percentage Calc]]</f>
        <v>290</v>
      </c>
    </row>
    <row r="61" spans="1:18" ht="14.25" customHeight="1" x14ac:dyDescent="0.3">
      <c r="A61" s="1">
        <v>60</v>
      </c>
      <c r="B61" s="1" t="s">
        <v>109</v>
      </c>
      <c r="C61" s="1" t="s">
        <v>22</v>
      </c>
      <c r="D61" s="1" t="s">
        <v>87</v>
      </c>
      <c r="E61" s="2">
        <v>45515</v>
      </c>
      <c r="F61" s="4">
        <v>45529</v>
      </c>
      <c r="G61" s="1">
        <v>8</v>
      </c>
      <c r="H61" s="1">
        <v>39</v>
      </c>
      <c r="I61" s="1" t="s">
        <v>30</v>
      </c>
      <c r="J61" s="1" t="s">
        <v>31</v>
      </c>
      <c r="K61" s="1" t="s">
        <v>20</v>
      </c>
      <c r="L61" t="str">
        <f>TEXT(Table2[[#This Row],[Order Date]],"YYY")</f>
        <v>2024</v>
      </c>
      <c r="M61" t="str">
        <f>TEXT(Table2[[#This Row],[Order Date]],"MMM")</f>
        <v>Aug</v>
      </c>
      <c r="N61" t="str">
        <f>TEXT(Table2[[#This Row],[Order Date]],"DDD")</f>
        <v>Sun</v>
      </c>
      <c r="O61">
        <f>DATEDIF(Table2[[#This Row],[Order Date]],Table2[[#This Row],[Delivered Date]],"D")</f>
        <v>14</v>
      </c>
      <c r="P61" s="10">
        <f>ROUND(Table2[[#This Row],[Quantity]]*Table2[[#This Row],[Unit Price]]*VLOOKUP(Table2[[#This Row],[Product Name]],Table_1[#All],2,FALSE),0)</f>
        <v>250</v>
      </c>
      <c r="Q61" s="10">
        <f>Table2[[#This Row],[Quantity]]*Table2[[#This Row],[Unit Price]]</f>
        <v>312</v>
      </c>
      <c r="R61" s="10">
        <f>Table2[[#This Row],[Sales Revenue]]-Table2[[#This Row],[Total Cost After Product Percentage Calc]]</f>
        <v>62</v>
      </c>
    </row>
    <row r="62" spans="1:18" ht="14.25" customHeight="1" x14ac:dyDescent="0.3">
      <c r="A62" s="1">
        <v>61</v>
      </c>
      <c r="B62" s="1" t="s">
        <v>110</v>
      </c>
      <c r="C62" s="1" t="s">
        <v>18</v>
      </c>
      <c r="D62" s="1" t="s">
        <v>64</v>
      </c>
      <c r="E62" s="2">
        <v>45631</v>
      </c>
      <c r="F62" s="4">
        <v>45638</v>
      </c>
      <c r="G62" s="1">
        <v>1</v>
      </c>
      <c r="H62" s="1">
        <v>95</v>
      </c>
      <c r="I62" s="1" t="s">
        <v>14</v>
      </c>
      <c r="J62" s="1" t="s">
        <v>36</v>
      </c>
      <c r="K62" s="1" t="s">
        <v>16</v>
      </c>
      <c r="L62" t="str">
        <f>TEXT(Table2[[#This Row],[Order Date]],"YYY")</f>
        <v>2024</v>
      </c>
      <c r="M62" t="str">
        <f>TEXT(Table2[[#This Row],[Order Date]],"MMM")</f>
        <v>Dec</v>
      </c>
      <c r="N62" t="str">
        <f>TEXT(Table2[[#This Row],[Order Date]],"DDD")</f>
        <v>Thu</v>
      </c>
      <c r="O62">
        <f>DATEDIF(Table2[[#This Row],[Order Date]],Table2[[#This Row],[Delivered Date]],"D")</f>
        <v>7</v>
      </c>
      <c r="P62" s="10">
        <f>ROUND(Table2[[#This Row],[Quantity]]*Table2[[#This Row],[Unit Price]]*VLOOKUP(Table2[[#This Row],[Product Name]],Table_1[#All],2,FALSE),0)</f>
        <v>62</v>
      </c>
      <c r="Q62" s="10">
        <f>Table2[[#This Row],[Quantity]]*Table2[[#This Row],[Unit Price]]</f>
        <v>95</v>
      </c>
      <c r="R62" s="10">
        <f>Table2[[#This Row],[Sales Revenue]]-Table2[[#This Row],[Total Cost After Product Percentage Calc]]</f>
        <v>33</v>
      </c>
    </row>
    <row r="63" spans="1:18" ht="14.25" customHeight="1" x14ac:dyDescent="0.3">
      <c r="A63" s="1">
        <v>62</v>
      </c>
      <c r="B63" s="1" t="s">
        <v>111</v>
      </c>
      <c r="C63" s="1" t="s">
        <v>12</v>
      </c>
      <c r="D63" s="1" t="s">
        <v>29</v>
      </c>
      <c r="E63" s="2">
        <v>45301</v>
      </c>
      <c r="F63" s="4">
        <v>45305</v>
      </c>
      <c r="G63" s="1">
        <v>9</v>
      </c>
      <c r="H63" s="1">
        <v>63</v>
      </c>
      <c r="I63" s="1" t="s">
        <v>30</v>
      </c>
      <c r="J63" s="1" t="s">
        <v>52</v>
      </c>
      <c r="K63" s="1" t="s">
        <v>16</v>
      </c>
      <c r="L63" t="str">
        <f>TEXT(Table2[[#This Row],[Order Date]],"YYY")</f>
        <v>2024</v>
      </c>
      <c r="M63" t="str">
        <f>TEXT(Table2[[#This Row],[Order Date]],"MMM")</f>
        <v>Jan</v>
      </c>
      <c r="N63" t="str">
        <f>TEXT(Table2[[#This Row],[Order Date]],"DDD")</f>
        <v>Wed</v>
      </c>
      <c r="O63">
        <f>DATEDIF(Table2[[#This Row],[Order Date]],Table2[[#This Row],[Delivered Date]],"D")</f>
        <v>4</v>
      </c>
      <c r="P63" s="10">
        <f>ROUND(Table2[[#This Row],[Quantity]]*Table2[[#This Row],[Unit Price]]*VLOOKUP(Table2[[#This Row],[Product Name]],Table_1[#All],2,FALSE),0)</f>
        <v>369</v>
      </c>
      <c r="Q63" s="10">
        <f>Table2[[#This Row],[Quantity]]*Table2[[#This Row],[Unit Price]]</f>
        <v>567</v>
      </c>
      <c r="R63" s="10">
        <f>Table2[[#This Row],[Sales Revenue]]-Table2[[#This Row],[Total Cost After Product Percentage Calc]]</f>
        <v>198</v>
      </c>
    </row>
    <row r="64" spans="1:18" ht="14.25" customHeight="1" x14ac:dyDescent="0.3">
      <c r="A64" s="1">
        <v>63</v>
      </c>
      <c r="B64" s="1" t="s">
        <v>112</v>
      </c>
      <c r="C64" s="1" t="s">
        <v>12</v>
      </c>
      <c r="D64" s="1" t="s">
        <v>13</v>
      </c>
      <c r="E64" s="2">
        <v>45307</v>
      </c>
      <c r="F64" s="4">
        <v>45320</v>
      </c>
      <c r="G64" s="1">
        <v>4</v>
      </c>
      <c r="H64" s="1">
        <v>214</v>
      </c>
      <c r="I64" s="1" t="s">
        <v>30</v>
      </c>
      <c r="J64" s="1" t="s">
        <v>24</v>
      </c>
      <c r="K64" s="1" t="s">
        <v>16</v>
      </c>
      <c r="L64" t="str">
        <f>TEXT(Table2[[#This Row],[Order Date]],"YYY")</f>
        <v>2024</v>
      </c>
      <c r="M64" t="str">
        <f>TEXT(Table2[[#This Row],[Order Date]],"MMM")</f>
        <v>Jan</v>
      </c>
      <c r="N64" t="str">
        <f>TEXT(Table2[[#This Row],[Order Date]],"DDD")</f>
        <v>Tue</v>
      </c>
      <c r="O64">
        <f>DATEDIF(Table2[[#This Row],[Order Date]],Table2[[#This Row],[Delivered Date]],"D")</f>
        <v>13</v>
      </c>
      <c r="P64" s="10">
        <f>ROUND(Table2[[#This Row],[Quantity]]*Table2[[#This Row],[Unit Price]]*VLOOKUP(Table2[[#This Row],[Product Name]],Table_1[#All],2,FALSE),0)</f>
        <v>642</v>
      </c>
      <c r="Q64" s="10">
        <f>Table2[[#This Row],[Quantity]]*Table2[[#This Row],[Unit Price]]</f>
        <v>856</v>
      </c>
      <c r="R64" s="10">
        <f>Table2[[#This Row],[Sales Revenue]]-Table2[[#This Row],[Total Cost After Product Percentage Calc]]</f>
        <v>214</v>
      </c>
    </row>
    <row r="65" spans="1:18" ht="14.25" customHeight="1" x14ac:dyDescent="0.3">
      <c r="A65" s="1">
        <v>64</v>
      </c>
      <c r="B65" s="1" t="s">
        <v>113</v>
      </c>
      <c r="C65" s="1" t="s">
        <v>22</v>
      </c>
      <c r="D65" s="1" t="s">
        <v>58</v>
      </c>
      <c r="E65" s="2">
        <v>45356</v>
      </c>
      <c r="F65" s="4">
        <v>45365</v>
      </c>
      <c r="G65" s="1">
        <v>8</v>
      </c>
      <c r="H65" s="1">
        <v>695</v>
      </c>
      <c r="I65" s="1" t="s">
        <v>14</v>
      </c>
      <c r="J65" s="1" t="s">
        <v>15</v>
      </c>
      <c r="K65" s="1" t="s">
        <v>20</v>
      </c>
      <c r="L65" t="str">
        <f>TEXT(Table2[[#This Row],[Order Date]],"YYY")</f>
        <v>2024</v>
      </c>
      <c r="M65" t="str">
        <f>TEXT(Table2[[#This Row],[Order Date]],"MMM")</f>
        <v>Mar</v>
      </c>
      <c r="N65" t="str">
        <f>TEXT(Table2[[#This Row],[Order Date]],"DDD")</f>
        <v>Tue</v>
      </c>
      <c r="O65">
        <f>DATEDIF(Table2[[#This Row],[Order Date]],Table2[[#This Row],[Delivered Date]],"D")</f>
        <v>9</v>
      </c>
      <c r="P65" s="10">
        <f>ROUND(Table2[[#This Row],[Quantity]]*Table2[[#This Row],[Unit Price]]*VLOOKUP(Table2[[#This Row],[Product Name]],Table_1[#All],2,FALSE),0)</f>
        <v>3892</v>
      </c>
      <c r="Q65" s="10">
        <f>Table2[[#This Row],[Quantity]]*Table2[[#This Row],[Unit Price]]</f>
        <v>5560</v>
      </c>
      <c r="R65" s="10">
        <f>Table2[[#This Row],[Sales Revenue]]-Table2[[#This Row],[Total Cost After Product Percentage Calc]]</f>
        <v>1668</v>
      </c>
    </row>
    <row r="66" spans="1:18" ht="14.25" customHeight="1" x14ac:dyDescent="0.3">
      <c r="A66" s="1">
        <v>65</v>
      </c>
      <c r="B66" s="1" t="s">
        <v>114</v>
      </c>
      <c r="C66" s="1" t="s">
        <v>26</v>
      </c>
      <c r="D66" s="1" t="s">
        <v>27</v>
      </c>
      <c r="E66" s="2">
        <v>45480</v>
      </c>
      <c r="F66" s="4">
        <v>45488</v>
      </c>
      <c r="G66" s="1">
        <v>3</v>
      </c>
      <c r="H66" s="1">
        <v>630</v>
      </c>
      <c r="I66" s="1" t="s">
        <v>14</v>
      </c>
      <c r="J66" s="1" t="s">
        <v>36</v>
      </c>
      <c r="K66" s="1" t="s">
        <v>16</v>
      </c>
      <c r="L66" t="str">
        <f>TEXT(Table2[[#This Row],[Order Date]],"YYY")</f>
        <v>2024</v>
      </c>
      <c r="M66" t="str">
        <f>TEXT(Table2[[#This Row],[Order Date]],"MMM")</f>
        <v>Jul</v>
      </c>
      <c r="N66" t="str">
        <f>TEXT(Table2[[#This Row],[Order Date]],"DDD")</f>
        <v>Sun</v>
      </c>
      <c r="O66">
        <f>DATEDIF(Table2[[#This Row],[Order Date]],Table2[[#This Row],[Delivered Date]],"D")</f>
        <v>8</v>
      </c>
      <c r="P66" s="10">
        <f>ROUND(Table2[[#This Row],[Quantity]]*Table2[[#This Row],[Unit Price]]*VLOOKUP(Table2[[#This Row],[Product Name]],Table_1[#All],2,FALSE),0)</f>
        <v>1040</v>
      </c>
      <c r="Q66" s="10">
        <f>Table2[[#This Row],[Quantity]]*Table2[[#This Row],[Unit Price]]</f>
        <v>1890</v>
      </c>
      <c r="R66" s="10">
        <f>Table2[[#This Row],[Sales Revenue]]-Table2[[#This Row],[Total Cost After Product Percentage Calc]]</f>
        <v>850</v>
      </c>
    </row>
    <row r="67" spans="1:18" ht="14.25" customHeight="1" x14ac:dyDescent="0.3">
      <c r="A67" s="1">
        <v>66</v>
      </c>
      <c r="B67" s="1" t="s">
        <v>115</v>
      </c>
      <c r="C67" s="1" t="s">
        <v>34</v>
      </c>
      <c r="D67" s="1" t="s">
        <v>80</v>
      </c>
      <c r="E67" s="2">
        <v>45588</v>
      </c>
      <c r="F67" s="4">
        <v>45600</v>
      </c>
      <c r="G67" s="1">
        <v>1</v>
      </c>
      <c r="H67" s="1">
        <v>961</v>
      </c>
      <c r="I67" s="1" t="s">
        <v>30</v>
      </c>
      <c r="J67" s="1" t="s">
        <v>52</v>
      </c>
      <c r="K67" s="1" t="s">
        <v>16</v>
      </c>
      <c r="L67" t="str">
        <f>TEXT(Table2[[#This Row],[Order Date]],"YYY")</f>
        <v>2024</v>
      </c>
      <c r="M67" t="str">
        <f>TEXT(Table2[[#This Row],[Order Date]],"MMM")</f>
        <v>Oct</v>
      </c>
      <c r="N67" t="str">
        <f>TEXT(Table2[[#This Row],[Order Date]],"DDD")</f>
        <v>Wed</v>
      </c>
      <c r="O67">
        <f>DATEDIF(Table2[[#This Row],[Order Date]],Table2[[#This Row],[Delivered Date]],"D")</f>
        <v>12</v>
      </c>
      <c r="P67" s="10">
        <f>ROUND(Table2[[#This Row],[Quantity]]*Table2[[#This Row],[Unit Price]]*VLOOKUP(Table2[[#This Row],[Product Name]],Table_1[#All],2,FALSE),0)</f>
        <v>721</v>
      </c>
      <c r="Q67" s="10">
        <f>Table2[[#This Row],[Quantity]]*Table2[[#This Row],[Unit Price]]</f>
        <v>961</v>
      </c>
      <c r="R67" s="10">
        <f>Table2[[#This Row],[Sales Revenue]]-Table2[[#This Row],[Total Cost After Product Percentage Calc]]</f>
        <v>240</v>
      </c>
    </row>
    <row r="68" spans="1:18" ht="14.25" customHeight="1" x14ac:dyDescent="0.3">
      <c r="A68" s="1">
        <v>67</v>
      </c>
      <c r="B68" s="1" t="s">
        <v>116</v>
      </c>
      <c r="C68" s="1" t="s">
        <v>26</v>
      </c>
      <c r="D68" s="1" t="s">
        <v>41</v>
      </c>
      <c r="E68" s="2">
        <v>45393</v>
      </c>
      <c r="F68" s="4">
        <v>45406</v>
      </c>
      <c r="G68" s="1">
        <v>2</v>
      </c>
      <c r="H68" s="1">
        <v>616</v>
      </c>
      <c r="I68" s="1" t="s">
        <v>14</v>
      </c>
      <c r="J68" s="1" t="s">
        <v>36</v>
      </c>
      <c r="K68" s="1" t="s">
        <v>16</v>
      </c>
      <c r="L68" t="str">
        <f>TEXT(Table2[[#This Row],[Order Date]],"YYY")</f>
        <v>2024</v>
      </c>
      <c r="M68" t="str">
        <f>TEXT(Table2[[#This Row],[Order Date]],"MMM")</f>
        <v>Apr</v>
      </c>
      <c r="N68" t="str">
        <f>TEXT(Table2[[#This Row],[Order Date]],"DDD")</f>
        <v>Thu</v>
      </c>
      <c r="O68">
        <f>DATEDIF(Table2[[#This Row],[Order Date]],Table2[[#This Row],[Delivered Date]],"D")</f>
        <v>13</v>
      </c>
      <c r="P68" s="10">
        <f>ROUND(Table2[[#This Row],[Quantity]]*Table2[[#This Row],[Unit Price]]*VLOOKUP(Table2[[#This Row],[Product Name]],Table_1[#All],2,FALSE),0)</f>
        <v>616</v>
      </c>
      <c r="Q68" s="10">
        <f>Table2[[#This Row],[Quantity]]*Table2[[#This Row],[Unit Price]]</f>
        <v>1232</v>
      </c>
      <c r="R68" s="10">
        <f>Table2[[#This Row],[Sales Revenue]]-Table2[[#This Row],[Total Cost After Product Percentage Calc]]</f>
        <v>616</v>
      </c>
    </row>
    <row r="69" spans="1:18" ht="14.25" customHeight="1" x14ac:dyDescent="0.3">
      <c r="A69" s="1">
        <v>68</v>
      </c>
      <c r="B69" s="1" t="s">
        <v>117</v>
      </c>
      <c r="C69" s="1" t="s">
        <v>34</v>
      </c>
      <c r="D69" s="1" t="s">
        <v>35</v>
      </c>
      <c r="E69" s="2">
        <v>45353</v>
      </c>
      <c r="F69" s="4">
        <v>45364</v>
      </c>
      <c r="G69" s="1">
        <v>10</v>
      </c>
      <c r="H69" s="1">
        <v>811</v>
      </c>
      <c r="I69" s="1" t="s">
        <v>30</v>
      </c>
      <c r="J69" s="1" t="s">
        <v>15</v>
      </c>
      <c r="K69" s="1" t="s">
        <v>16</v>
      </c>
      <c r="L69" t="str">
        <f>TEXT(Table2[[#This Row],[Order Date]],"YYY")</f>
        <v>2024</v>
      </c>
      <c r="M69" t="str">
        <f>TEXT(Table2[[#This Row],[Order Date]],"MMM")</f>
        <v>Mar</v>
      </c>
      <c r="N69" t="str">
        <f>TEXT(Table2[[#This Row],[Order Date]],"DDD")</f>
        <v>Sat</v>
      </c>
      <c r="O69">
        <f>DATEDIF(Table2[[#This Row],[Order Date]],Table2[[#This Row],[Delivered Date]],"D")</f>
        <v>11</v>
      </c>
      <c r="P69" s="10">
        <f>ROUND(Table2[[#This Row],[Quantity]]*Table2[[#This Row],[Unit Price]]*VLOOKUP(Table2[[#This Row],[Product Name]],Table_1[#All],2,FALSE),0)</f>
        <v>6083</v>
      </c>
      <c r="Q69" s="10">
        <f>Table2[[#This Row],[Quantity]]*Table2[[#This Row],[Unit Price]]</f>
        <v>8110</v>
      </c>
      <c r="R69" s="10">
        <f>Table2[[#This Row],[Sales Revenue]]-Table2[[#This Row],[Total Cost After Product Percentage Calc]]</f>
        <v>2027</v>
      </c>
    </row>
    <row r="70" spans="1:18" ht="14.25" customHeight="1" x14ac:dyDescent="0.3">
      <c r="A70" s="1">
        <v>69</v>
      </c>
      <c r="B70" s="1" t="s">
        <v>118</v>
      </c>
      <c r="C70" s="1" t="s">
        <v>26</v>
      </c>
      <c r="D70" s="1" t="s">
        <v>119</v>
      </c>
      <c r="E70" s="2">
        <v>45513</v>
      </c>
      <c r="F70" s="4">
        <v>45519</v>
      </c>
      <c r="G70" s="1">
        <v>6</v>
      </c>
      <c r="H70" s="1">
        <v>660</v>
      </c>
      <c r="I70" s="1" t="s">
        <v>30</v>
      </c>
      <c r="J70" s="1" t="s">
        <v>24</v>
      </c>
      <c r="K70" s="1" t="s">
        <v>20</v>
      </c>
      <c r="L70" t="str">
        <f>TEXT(Table2[[#This Row],[Order Date]],"YYY")</f>
        <v>2024</v>
      </c>
      <c r="M70" t="str">
        <f>TEXT(Table2[[#This Row],[Order Date]],"MMM")</f>
        <v>Aug</v>
      </c>
      <c r="N70" t="str">
        <f>TEXT(Table2[[#This Row],[Order Date]],"DDD")</f>
        <v>Fri</v>
      </c>
      <c r="O70">
        <f>DATEDIF(Table2[[#This Row],[Order Date]],Table2[[#This Row],[Delivered Date]],"D")</f>
        <v>6</v>
      </c>
      <c r="P70" s="10">
        <f>ROUND(Table2[[#This Row],[Quantity]]*Table2[[#This Row],[Unit Price]]*VLOOKUP(Table2[[#This Row],[Product Name]],Table_1[#All],2,FALSE),0)</f>
        <v>2376</v>
      </c>
      <c r="Q70" s="10">
        <f>Table2[[#This Row],[Quantity]]*Table2[[#This Row],[Unit Price]]</f>
        <v>3960</v>
      </c>
      <c r="R70" s="10">
        <f>Table2[[#This Row],[Sales Revenue]]-Table2[[#This Row],[Total Cost After Product Percentage Calc]]</f>
        <v>1584</v>
      </c>
    </row>
    <row r="71" spans="1:18" ht="14.25" customHeight="1" x14ac:dyDescent="0.3">
      <c r="A71" s="1">
        <v>70</v>
      </c>
      <c r="B71" s="1" t="s">
        <v>120</v>
      </c>
      <c r="C71" s="1" t="s">
        <v>22</v>
      </c>
      <c r="D71" s="1" t="s">
        <v>23</v>
      </c>
      <c r="E71" s="2">
        <v>45382</v>
      </c>
      <c r="F71" s="4">
        <v>45395</v>
      </c>
      <c r="G71" s="1">
        <v>9</v>
      </c>
      <c r="H71" s="1">
        <v>998</v>
      </c>
      <c r="I71" s="1" t="s">
        <v>30</v>
      </c>
      <c r="J71" s="1" t="s">
        <v>36</v>
      </c>
      <c r="K71" s="1" t="s">
        <v>32</v>
      </c>
      <c r="L71" t="str">
        <f>TEXT(Table2[[#This Row],[Order Date]],"YYY")</f>
        <v>2024</v>
      </c>
      <c r="M71" t="str">
        <f>TEXT(Table2[[#This Row],[Order Date]],"MMM")</f>
        <v>Mar</v>
      </c>
      <c r="N71" t="str">
        <f>TEXT(Table2[[#This Row],[Order Date]],"DDD")</f>
        <v>Sun</v>
      </c>
      <c r="O71">
        <f>DATEDIF(Table2[[#This Row],[Order Date]],Table2[[#This Row],[Delivered Date]],"D")</f>
        <v>13</v>
      </c>
      <c r="P71" s="10">
        <f>ROUND(Table2[[#This Row],[Quantity]]*Table2[[#This Row],[Unit Price]]*VLOOKUP(Table2[[#This Row],[Product Name]],Table_1[#All],2,FALSE),0)</f>
        <v>6737</v>
      </c>
      <c r="Q71" s="10">
        <f>Table2[[#This Row],[Quantity]]*Table2[[#This Row],[Unit Price]]</f>
        <v>8982</v>
      </c>
      <c r="R71" s="10">
        <f>Table2[[#This Row],[Sales Revenue]]-Table2[[#This Row],[Total Cost After Product Percentage Calc]]</f>
        <v>2245</v>
      </c>
    </row>
    <row r="72" spans="1:18" ht="14.25" customHeight="1" x14ac:dyDescent="0.3">
      <c r="A72" s="1">
        <v>71</v>
      </c>
      <c r="B72" s="1" t="s">
        <v>121</v>
      </c>
      <c r="C72" s="1" t="s">
        <v>18</v>
      </c>
      <c r="D72" s="1" t="s">
        <v>60</v>
      </c>
      <c r="E72" s="2">
        <v>45576</v>
      </c>
      <c r="F72" s="4">
        <v>45582</v>
      </c>
      <c r="G72" s="1">
        <v>1</v>
      </c>
      <c r="H72" s="1">
        <v>539</v>
      </c>
      <c r="I72" s="1" t="s">
        <v>14</v>
      </c>
      <c r="J72" s="1" t="s">
        <v>15</v>
      </c>
      <c r="K72" s="1" t="s">
        <v>49</v>
      </c>
      <c r="L72" t="str">
        <f>TEXT(Table2[[#This Row],[Order Date]],"YYY")</f>
        <v>2024</v>
      </c>
      <c r="M72" t="str">
        <f>TEXT(Table2[[#This Row],[Order Date]],"MMM")</f>
        <v>Oct</v>
      </c>
      <c r="N72" t="str">
        <f>TEXT(Table2[[#This Row],[Order Date]],"DDD")</f>
        <v>Fri</v>
      </c>
      <c r="O72">
        <f>DATEDIF(Table2[[#This Row],[Order Date]],Table2[[#This Row],[Delivered Date]],"D")</f>
        <v>6</v>
      </c>
      <c r="P72" s="10">
        <f>ROUND(Table2[[#This Row],[Quantity]]*Table2[[#This Row],[Unit Price]]*VLOOKUP(Table2[[#This Row],[Product Name]],Table_1[#All],2,FALSE),0)</f>
        <v>296</v>
      </c>
      <c r="Q72" s="10">
        <f>Table2[[#This Row],[Quantity]]*Table2[[#This Row],[Unit Price]]</f>
        <v>539</v>
      </c>
      <c r="R72" s="10">
        <f>Table2[[#This Row],[Sales Revenue]]-Table2[[#This Row],[Total Cost After Product Percentage Calc]]</f>
        <v>243</v>
      </c>
    </row>
    <row r="73" spans="1:18" ht="14.25" customHeight="1" x14ac:dyDescent="0.3">
      <c r="A73" s="1">
        <v>72</v>
      </c>
      <c r="B73" s="1" t="s">
        <v>122</v>
      </c>
      <c r="C73" s="1" t="s">
        <v>18</v>
      </c>
      <c r="D73" s="1" t="s">
        <v>60</v>
      </c>
      <c r="E73" s="2">
        <v>45534</v>
      </c>
      <c r="F73" s="4">
        <v>45547</v>
      </c>
      <c r="G73" s="1">
        <v>9</v>
      </c>
      <c r="H73" s="1">
        <v>553</v>
      </c>
      <c r="I73" s="1" t="s">
        <v>30</v>
      </c>
      <c r="J73" s="1" t="s">
        <v>52</v>
      </c>
      <c r="K73" s="1" t="s">
        <v>49</v>
      </c>
      <c r="L73" t="str">
        <f>TEXT(Table2[[#This Row],[Order Date]],"YYY")</f>
        <v>2024</v>
      </c>
      <c r="M73" t="str">
        <f>TEXT(Table2[[#This Row],[Order Date]],"MMM")</f>
        <v>Aug</v>
      </c>
      <c r="N73" t="str">
        <f>TEXT(Table2[[#This Row],[Order Date]],"DDD")</f>
        <v>Fri</v>
      </c>
      <c r="O73">
        <f>DATEDIF(Table2[[#This Row],[Order Date]],Table2[[#This Row],[Delivered Date]],"D")</f>
        <v>13</v>
      </c>
      <c r="P73" s="10">
        <f>ROUND(Table2[[#This Row],[Quantity]]*Table2[[#This Row],[Unit Price]]*VLOOKUP(Table2[[#This Row],[Product Name]],Table_1[#All],2,FALSE),0)</f>
        <v>2737</v>
      </c>
      <c r="Q73" s="10">
        <f>Table2[[#This Row],[Quantity]]*Table2[[#This Row],[Unit Price]]</f>
        <v>4977</v>
      </c>
      <c r="R73" s="10">
        <f>Table2[[#This Row],[Sales Revenue]]-Table2[[#This Row],[Total Cost After Product Percentage Calc]]</f>
        <v>2240</v>
      </c>
    </row>
    <row r="74" spans="1:18" ht="14.25" customHeight="1" x14ac:dyDescent="0.3">
      <c r="A74" s="1">
        <v>73</v>
      </c>
      <c r="B74" s="1" t="s">
        <v>123</v>
      </c>
      <c r="C74" s="1" t="s">
        <v>18</v>
      </c>
      <c r="D74" s="1" t="s">
        <v>60</v>
      </c>
      <c r="E74" s="2">
        <v>45472</v>
      </c>
      <c r="F74" s="4">
        <v>45486</v>
      </c>
      <c r="G74" s="1">
        <v>8</v>
      </c>
      <c r="H74" s="1">
        <v>287</v>
      </c>
      <c r="I74" s="1" t="s">
        <v>14</v>
      </c>
      <c r="J74" s="1" t="s">
        <v>52</v>
      </c>
      <c r="K74" s="1" t="s">
        <v>32</v>
      </c>
      <c r="L74" t="str">
        <f>TEXT(Table2[[#This Row],[Order Date]],"YYY")</f>
        <v>2024</v>
      </c>
      <c r="M74" t="str">
        <f>TEXT(Table2[[#This Row],[Order Date]],"MMM")</f>
        <v>Jun</v>
      </c>
      <c r="N74" t="str">
        <f>TEXT(Table2[[#This Row],[Order Date]],"DDD")</f>
        <v>Sat</v>
      </c>
      <c r="O74">
        <f>DATEDIF(Table2[[#This Row],[Order Date]],Table2[[#This Row],[Delivered Date]],"D")</f>
        <v>14</v>
      </c>
      <c r="P74" s="10">
        <f>ROUND(Table2[[#This Row],[Quantity]]*Table2[[#This Row],[Unit Price]]*VLOOKUP(Table2[[#This Row],[Product Name]],Table_1[#All],2,FALSE),0)</f>
        <v>1263</v>
      </c>
      <c r="Q74" s="10">
        <f>Table2[[#This Row],[Quantity]]*Table2[[#This Row],[Unit Price]]</f>
        <v>2296</v>
      </c>
      <c r="R74" s="10">
        <f>Table2[[#This Row],[Sales Revenue]]-Table2[[#This Row],[Total Cost After Product Percentage Calc]]</f>
        <v>1033</v>
      </c>
    </row>
    <row r="75" spans="1:18" ht="14.25" customHeight="1" x14ac:dyDescent="0.3">
      <c r="A75" s="1">
        <v>74</v>
      </c>
      <c r="B75" s="1" t="s">
        <v>124</v>
      </c>
      <c r="C75" s="1" t="s">
        <v>12</v>
      </c>
      <c r="D75" s="1" t="s">
        <v>62</v>
      </c>
      <c r="E75" s="2">
        <v>45453</v>
      </c>
      <c r="F75" s="4">
        <v>45462</v>
      </c>
      <c r="G75" s="1">
        <v>2</v>
      </c>
      <c r="H75" s="1">
        <v>770</v>
      </c>
      <c r="I75" s="1" t="s">
        <v>14</v>
      </c>
      <c r="J75" s="1" t="s">
        <v>36</v>
      </c>
      <c r="K75" s="1" t="s">
        <v>49</v>
      </c>
      <c r="L75" t="str">
        <f>TEXT(Table2[[#This Row],[Order Date]],"YYY")</f>
        <v>2024</v>
      </c>
      <c r="M75" t="str">
        <f>TEXT(Table2[[#This Row],[Order Date]],"MMM")</f>
        <v>Jun</v>
      </c>
      <c r="N75" t="str">
        <f>TEXT(Table2[[#This Row],[Order Date]],"DDD")</f>
        <v>Mon</v>
      </c>
      <c r="O75">
        <f>DATEDIF(Table2[[#This Row],[Order Date]],Table2[[#This Row],[Delivered Date]],"D")</f>
        <v>9</v>
      </c>
      <c r="P75" s="10">
        <f>ROUND(Table2[[#This Row],[Quantity]]*Table2[[#This Row],[Unit Price]]*VLOOKUP(Table2[[#This Row],[Product Name]],Table_1[#All],2,FALSE),0)</f>
        <v>1309</v>
      </c>
      <c r="Q75" s="10">
        <f>Table2[[#This Row],[Quantity]]*Table2[[#This Row],[Unit Price]]</f>
        <v>1540</v>
      </c>
      <c r="R75" s="10">
        <f>Table2[[#This Row],[Sales Revenue]]-Table2[[#This Row],[Total Cost After Product Percentage Calc]]</f>
        <v>231</v>
      </c>
    </row>
    <row r="76" spans="1:18" ht="14.25" customHeight="1" x14ac:dyDescent="0.3">
      <c r="A76" s="1">
        <v>75</v>
      </c>
      <c r="B76" s="1" t="s">
        <v>125</v>
      </c>
      <c r="C76" s="1" t="s">
        <v>12</v>
      </c>
      <c r="D76" s="1" t="s">
        <v>62</v>
      </c>
      <c r="E76" s="2">
        <v>45443</v>
      </c>
      <c r="F76" s="4">
        <v>45457</v>
      </c>
      <c r="G76" s="1">
        <v>4</v>
      </c>
      <c r="H76" s="1">
        <v>379</v>
      </c>
      <c r="I76" s="1" t="s">
        <v>14</v>
      </c>
      <c r="J76" s="1" t="s">
        <v>15</v>
      </c>
      <c r="K76" s="1" t="s">
        <v>32</v>
      </c>
      <c r="L76" t="str">
        <f>TEXT(Table2[[#This Row],[Order Date]],"YYY")</f>
        <v>2024</v>
      </c>
      <c r="M76" t="str">
        <f>TEXT(Table2[[#This Row],[Order Date]],"MMM")</f>
        <v>May</v>
      </c>
      <c r="N76" t="str">
        <f>TEXT(Table2[[#This Row],[Order Date]],"DDD")</f>
        <v>Fri</v>
      </c>
      <c r="O76">
        <f>DATEDIF(Table2[[#This Row],[Order Date]],Table2[[#This Row],[Delivered Date]],"D")</f>
        <v>14</v>
      </c>
      <c r="P76" s="10">
        <f>ROUND(Table2[[#This Row],[Quantity]]*Table2[[#This Row],[Unit Price]]*VLOOKUP(Table2[[#This Row],[Product Name]],Table_1[#All],2,FALSE),0)</f>
        <v>1289</v>
      </c>
      <c r="Q76" s="10">
        <f>Table2[[#This Row],[Quantity]]*Table2[[#This Row],[Unit Price]]</f>
        <v>1516</v>
      </c>
      <c r="R76" s="10">
        <f>Table2[[#This Row],[Sales Revenue]]-Table2[[#This Row],[Total Cost After Product Percentage Calc]]</f>
        <v>227</v>
      </c>
    </row>
    <row r="77" spans="1:18" ht="14.25" customHeight="1" x14ac:dyDescent="0.3">
      <c r="A77" s="1">
        <v>76</v>
      </c>
      <c r="B77" s="1" t="s">
        <v>126</v>
      </c>
      <c r="C77" s="1" t="s">
        <v>18</v>
      </c>
      <c r="D77" s="1" t="s">
        <v>68</v>
      </c>
      <c r="E77" s="2">
        <v>45432</v>
      </c>
      <c r="F77" s="4">
        <v>45438</v>
      </c>
      <c r="G77" s="1">
        <v>1</v>
      </c>
      <c r="H77" s="1">
        <v>65</v>
      </c>
      <c r="I77" s="1" t="s">
        <v>30</v>
      </c>
      <c r="J77" s="1" t="s">
        <v>36</v>
      </c>
      <c r="K77" s="1" t="s">
        <v>32</v>
      </c>
      <c r="L77" t="str">
        <f>TEXT(Table2[[#This Row],[Order Date]],"YYY")</f>
        <v>2024</v>
      </c>
      <c r="M77" t="str">
        <f>TEXT(Table2[[#This Row],[Order Date]],"MMM")</f>
        <v>May</v>
      </c>
      <c r="N77" t="str">
        <f>TEXT(Table2[[#This Row],[Order Date]],"DDD")</f>
        <v>Mon</v>
      </c>
      <c r="O77">
        <f>DATEDIF(Table2[[#This Row],[Order Date]],Table2[[#This Row],[Delivered Date]],"D")</f>
        <v>6</v>
      </c>
      <c r="P77" s="10">
        <f>ROUND(Table2[[#This Row],[Quantity]]*Table2[[#This Row],[Unit Price]]*VLOOKUP(Table2[[#This Row],[Product Name]],Table_1[#All],2,FALSE),0)</f>
        <v>33</v>
      </c>
      <c r="Q77" s="10">
        <f>Table2[[#This Row],[Quantity]]*Table2[[#This Row],[Unit Price]]</f>
        <v>65</v>
      </c>
      <c r="R77" s="10">
        <f>Table2[[#This Row],[Sales Revenue]]-Table2[[#This Row],[Total Cost After Product Percentage Calc]]</f>
        <v>32</v>
      </c>
    </row>
    <row r="78" spans="1:18" ht="14.25" customHeight="1" x14ac:dyDescent="0.3">
      <c r="A78" s="1">
        <v>77</v>
      </c>
      <c r="B78" s="1" t="s">
        <v>127</v>
      </c>
      <c r="C78" s="1" t="s">
        <v>26</v>
      </c>
      <c r="D78" s="1" t="s">
        <v>27</v>
      </c>
      <c r="E78" s="2">
        <v>45386</v>
      </c>
      <c r="F78" s="4">
        <v>45397</v>
      </c>
      <c r="G78" s="1">
        <v>1</v>
      </c>
      <c r="H78" s="1">
        <v>268</v>
      </c>
      <c r="I78" s="1" t="s">
        <v>14</v>
      </c>
      <c r="J78" s="1" t="s">
        <v>24</v>
      </c>
      <c r="K78" s="1" t="s">
        <v>16</v>
      </c>
      <c r="L78" t="str">
        <f>TEXT(Table2[[#This Row],[Order Date]],"YYY")</f>
        <v>2024</v>
      </c>
      <c r="M78" t="str">
        <f>TEXT(Table2[[#This Row],[Order Date]],"MMM")</f>
        <v>Apr</v>
      </c>
      <c r="N78" t="str">
        <f>TEXT(Table2[[#This Row],[Order Date]],"DDD")</f>
        <v>Thu</v>
      </c>
      <c r="O78">
        <f>DATEDIF(Table2[[#This Row],[Order Date]],Table2[[#This Row],[Delivered Date]],"D")</f>
        <v>11</v>
      </c>
      <c r="P78" s="10">
        <f>ROUND(Table2[[#This Row],[Quantity]]*Table2[[#This Row],[Unit Price]]*VLOOKUP(Table2[[#This Row],[Product Name]],Table_1[#All],2,FALSE),0)</f>
        <v>147</v>
      </c>
      <c r="Q78" s="10">
        <f>Table2[[#This Row],[Quantity]]*Table2[[#This Row],[Unit Price]]</f>
        <v>268</v>
      </c>
      <c r="R78" s="10">
        <f>Table2[[#This Row],[Sales Revenue]]-Table2[[#This Row],[Total Cost After Product Percentage Calc]]</f>
        <v>121</v>
      </c>
    </row>
    <row r="79" spans="1:18" ht="14.25" customHeight="1" x14ac:dyDescent="0.3">
      <c r="A79" s="1">
        <v>78</v>
      </c>
      <c r="B79" s="1" t="s">
        <v>128</v>
      </c>
      <c r="C79" s="1" t="s">
        <v>12</v>
      </c>
      <c r="D79" s="1" t="s">
        <v>29</v>
      </c>
      <c r="E79" s="2">
        <v>45543</v>
      </c>
      <c r="F79" s="4">
        <v>45556</v>
      </c>
      <c r="G79" s="1">
        <v>2</v>
      </c>
      <c r="H79" s="1">
        <v>600</v>
      </c>
      <c r="I79" s="1" t="s">
        <v>14</v>
      </c>
      <c r="J79" s="1" t="s">
        <v>36</v>
      </c>
      <c r="K79" s="1" t="s">
        <v>32</v>
      </c>
      <c r="L79" t="str">
        <f>TEXT(Table2[[#This Row],[Order Date]],"YYY")</f>
        <v>2024</v>
      </c>
      <c r="M79" t="str">
        <f>TEXT(Table2[[#This Row],[Order Date]],"MMM")</f>
        <v>Sep</v>
      </c>
      <c r="N79" t="str">
        <f>TEXT(Table2[[#This Row],[Order Date]],"DDD")</f>
        <v>Sun</v>
      </c>
      <c r="O79">
        <f>DATEDIF(Table2[[#This Row],[Order Date]],Table2[[#This Row],[Delivered Date]],"D")</f>
        <v>13</v>
      </c>
      <c r="P79" s="10">
        <f>ROUND(Table2[[#This Row],[Quantity]]*Table2[[#This Row],[Unit Price]]*VLOOKUP(Table2[[#This Row],[Product Name]],Table_1[#All],2,FALSE),0)</f>
        <v>780</v>
      </c>
      <c r="Q79" s="10">
        <f>Table2[[#This Row],[Quantity]]*Table2[[#This Row],[Unit Price]]</f>
        <v>1200</v>
      </c>
      <c r="R79" s="10">
        <f>Table2[[#This Row],[Sales Revenue]]-Table2[[#This Row],[Total Cost After Product Percentage Calc]]</f>
        <v>420</v>
      </c>
    </row>
    <row r="80" spans="1:18" ht="14.25" customHeight="1" x14ac:dyDescent="0.3">
      <c r="A80" s="1">
        <v>79</v>
      </c>
      <c r="B80" s="1" t="s">
        <v>129</v>
      </c>
      <c r="C80" s="1" t="s">
        <v>26</v>
      </c>
      <c r="D80" s="1" t="s">
        <v>27</v>
      </c>
      <c r="E80" s="2">
        <v>45593</v>
      </c>
      <c r="F80" s="4">
        <v>45600</v>
      </c>
      <c r="G80" s="1">
        <v>7</v>
      </c>
      <c r="H80" s="1">
        <v>322</v>
      </c>
      <c r="I80" s="1" t="s">
        <v>14</v>
      </c>
      <c r="J80" s="1" t="s">
        <v>36</v>
      </c>
      <c r="K80" s="1" t="s">
        <v>32</v>
      </c>
      <c r="L80" t="str">
        <f>TEXT(Table2[[#This Row],[Order Date]],"YYY")</f>
        <v>2024</v>
      </c>
      <c r="M80" t="str">
        <f>TEXT(Table2[[#This Row],[Order Date]],"MMM")</f>
        <v>Oct</v>
      </c>
      <c r="N80" t="str">
        <f>TEXT(Table2[[#This Row],[Order Date]],"DDD")</f>
        <v>Mon</v>
      </c>
      <c r="O80">
        <f>DATEDIF(Table2[[#This Row],[Order Date]],Table2[[#This Row],[Delivered Date]],"D")</f>
        <v>7</v>
      </c>
      <c r="P80" s="10">
        <f>ROUND(Table2[[#This Row],[Quantity]]*Table2[[#This Row],[Unit Price]]*VLOOKUP(Table2[[#This Row],[Product Name]],Table_1[#All],2,FALSE),0)</f>
        <v>1240</v>
      </c>
      <c r="Q80" s="10">
        <f>Table2[[#This Row],[Quantity]]*Table2[[#This Row],[Unit Price]]</f>
        <v>2254</v>
      </c>
      <c r="R80" s="10">
        <f>Table2[[#This Row],[Sales Revenue]]-Table2[[#This Row],[Total Cost After Product Percentage Calc]]</f>
        <v>1014</v>
      </c>
    </row>
    <row r="81" spans="1:18" ht="14.25" customHeight="1" x14ac:dyDescent="0.3">
      <c r="A81" s="1">
        <v>80</v>
      </c>
      <c r="B81" s="1" t="s">
        <v>130</v>
      </c>
      <c r="C81" s="1" t="s">
        <v>18</v>
      </c>
      <c r="D81" s="1" t="s">
        <v>19</v>
      </c>
      <c r="E81" s="2">
        <v>45398</v>
      </c>
      <c r="F81" s="4">
        <v>45404</v>
      </c>
      <c r="G81" s="1">
        <v>4</v>
      </c>
      <c r="H81" s="1">
        <v>280</v>
      </c>
      <c r="I81" s="1" t="s">
        <v>14</v>
      </c>
      <c r="J81" s="1" t="s">
        <v>36</v>
      </c>
      <c r="K81" s="1" t="s">
        <v>20</v>
      </c>
      <c r="L81" t="str">
        <f>TEXT(Table2[[#This Row],[Order Date]],"YYY")</f>
        <v>2024</v>
      </c>
      <c r="M81" t="str">
        <f>TEXT(Table2[[#This Row],[Order Date]],"MMM")</f>
        <v>Apr</v>
      </c>
      <c r="N81" t="str">
        <f>TEXT(Table2[[#This Row],[Order Date]],"DDD")</f>
        <v>Tue</v>
      </c>
      <c r="O81">
        <f>DATEDIF(Table2[[#This Row],[Order Date]],Table2[[#This Row],[Delivered Date]],"D")</f>
        <v>6</v>
      </c>
      <c r="P81" s="10">
        <f>ROUND(Table2[[#This Row],[Quantity]]*Table2[[#This Row],[Unit Price]]*VLOOKUP(Table2[[#This Row],[Product Name]],Table_1[#All],2,FALSE),0)</f>
        <v>560</v>
      </c>
      <c r="Q81" s="10">
        <f>Table2[[#This Row],[Quantity]]*Table2[[#This Row],[Unit Price]]</f>
        <v>1120</v>
      </c>
      <c r="R81" s="10">
        <f>Table2[[#This Row],[Sales Revenue]]-Table2[[#This Row],[Total Cost After Product Percentage Calc]]</f>
        <v>560</v>
      </c>
    </row>
    <row r="82" spans="1:18" ht="14.25" customHeight="1" x14ac:dyDescent="0.3">
      <c r="A82" s="1">
        <v>81</v>
      </c>
      <c r="B82" s="1" t="s">
        <v>131</v>
      </c>
      <c r="C82" s="1" t="s">
        <v>18</v>
      </c>
      <c r="D82" s="1" t="s">
        <v>47</v>
      </c>
      <c r="E82" s="2">
        <v>45441</v>
      </c>
      <c r="F82" s="4">
        <v>45455</v>
      </c>
      <c r="G82" s="1">
        <v>1</v>
      </c>
      <c r="H82" s="1">
        <v>247</v>
      </c>
      <c r="I82" s="1" t="s">
        <v>30</v>
      </c>
      <c r="J82" s="1" t="s">
        <v>52</v>
      </c>
      <c r="K82" s="1" t="s">
        <v>32</v>
      </c>
      <c r="L82" t="str">
        <f>TEXT(Table2[[#This Row],[Order Date]],"YYY")</f>
        <v>2024</v>
      </c>
      <c r="M82" t="str">
        <f>TEXT(Table2[[#This Row],[Order Date]],"MMM")</f>
        <v>May</v>
      </c>
      <c r="N82" t="str">
        <f>TEXT(Table2[[#This Row],[Order Date]],"DDD")</f>
        <v>Wed</v>
      </c>
      <c r="O82">
        <f>DATEDIF(Table2[[#This Row],[Order Date]],Table2[[#This Row],[Delivered Date]],"D")</f>
        <v>14</v>
      </c>
      <c r="P82" s="10">
        <f>ROUND(Table2[[#This Row],[Quantity]]*Table2[[#This Row],[Unit Price]]*VLOOKUP(Table2[[#This Row],[Product Name]],Table_1[#All],2,FALSE),0)</f>
        <v>148</v>
      </c>
      <c r="Q82" s="10">
        <f>Table2[[#This Row],[Quantity]]*Table2[[#This Row],[Unit Price]]</f>
        <v>247</v>
      </c>
      <c r="R82" s="10">
        <f>Table2[[#This Row],[Sales Revenue]]-Table2[[#This Row],[Total Cost After Product Percentage Calc]]</f>
        <v>99</v>
      </c>
    </row>
    <row r="83" spans="1:18" ht="14.25" customHeight="1" x14ac:dyDescent="0.3">
      <c r="A83" s="1">
        <v>82</v>
      </c>
      <c r="B83" s="1" t="s">
        <v>132</v>
      </c>
      <c r="C83" s="1" t="s">
        <v>26</v>
      </c>
      <c r="D83" s="1" t="s">
        <v>119</v>
      </c>
      <c r="E83" s="2">
        <v>45643</v>
      </c>
      <c r="F83" s="4">
        <v>45656</v>
      </c>
      <c r="G83" s="1">
        <v>4</v>
      </c>
      <c r="H83" s="1">
        <v>956</v>
      </c>
      <c r="I83" s="1" t="s">
        <v>30</v>
      </c>
      <c r="J83" s="1" t="s">
        <v>52</v>
      </c>
      <c r="K83" s="1" t="s">
        <v>20</v>
      </c>
      <c r="L83" t="str">
        <f>TEXT(Table2[[#This Row],[Order Date]],"YYY")</f>
        <v>2024</v>
      </c>
      <c r="M83" t="str">
        <f>TEXT(Table2[[#This Row],[Order Date]],"MMM")</f>
        <v>Dec</v>
      </c>
      <c r="N83" t="str">
        <f>TEXT(Table2[[#This Row],[Order Date]],"DDD")</f>
        <v>Tue</v>
      </c>
      <c r="O83">
        <f>DATEDIF(Table2[[#This Row],[Order Date]],Table2[[#This Row],[Delivered Date]],"D")</f>
        <v>13</v>
      </c>
      <c r="P83" s="10">
        <f>ROUND(Table2[[#This Row],[Quantity]]*Table2[[#This Row],[Unit Price]]*VLOOKUP(Table2[[#This Row],[Product Name]],Table_1[#All],2,FALSE),0)</f>
        <v>2294</v>
      </c>
      <c r="Q83" s="10">
        <f>Table2[[#This Row],[Quantity]]*Table2[[#This Row],[Unit Price]]</f>
        <v>3824</v>
      </c>
      <c r="R83" s="10">
        <f>Table2[[#This Row],[Sales Revenue]]-Table2[[#This Row],[Total Cost After Product Percentage Calc]]</f>
        <v>1530</v>
      </c>
    </row>
    <row r="84" spans="1:18" ht="14.25" customHeight="1" x14ac:dyDescent="0.3">
      <c r="A84" s="1">
        <v>83</v>
      </c>
      <c r="B84" s="1" t="s">
        <v>133</v>
      </c>
      <c r="C84" s="1" t="s">
        <v>22</v>
      </c>
      <c r="D84" s="1" t="s">
        <v>43</v>
      </c>
      <c r="E84" s="2">
        <v>45322</v>
      </c>
      <c r="F84" s="4">
        <v>45336</v>
      </c>
      <c r="G84" s="1">
        <v>3</v>
      </c>
      <c r="H84" s="1">
        <v>821</v>
      </c>
      <c r="I84" s="1" t="s">
        <v>30</v>
      </c>
      <c r="J84" s="1" t="s">
        <v>52</v>
      </c>
      <c r="K84" s="1" t="s">
        <v>16</v>
      </c>
      <c r="L84" t="str">
        <f>TEXT(Table2[[#This Row],[Order Date]],"YYY")</f>
        <v>2024</v>
      </c>
      <c r="M84" t="str">
        <f>TEXT(Table2[[#This Row],[Order Date]],"MMM")</f>
        <v>Jan</v>
      </c>
      <c r="N84" t="str">
        <f>TEXT(Table2[[#This Row],[Order Date]],"DDD")</f>
        <v>Wed</v>
      </c>
      <c r="O84">
        <f>DATEDIF(Table2[[#This Row],[Order Date]],Table2[[#This Row],[Delivered Date]],"D")</f>
        <v>14</v>
      </c>
      <c r="P84" s="10">
        <f>ROUND(Table2[[#This Row],[Quantity]]*Table2[[#This Row],[Unit Price]]*VLOOKUP(Table2[[#This Row],[Product Name]],Table_1[#All],2,FALSE),0)</f>
        <v>1601</v>
      </c>
      <c r="Q84" s="10">
        <f>Table2[[#This Row],[Quantity]]*Table2[[#This Row],[Unit Price]]</f>
        <v>2463</v>
      </c>
      <c r="R84" s="10">
        <f>Table2[[#This Row],[Sales Revenue]]-Table2[[#This Row],[Total Cost After Product Percentage Calc]]</f>
        <v>862</v>
      </c>
    </row>
    <row r="85" spans="1:18" ht="14.25" customHeight="1" x14ac:dyDescent="0.3">
      <c r="A85" s="1">
        <v>84</v>
      </c>
      <c r="B85" s="1" t="s">
        <v>134</v>
      </c>
      <c r="C85" s="1" t="s">
        <v>18</v>
      </c>
      <c r="D85" s="1" t="s">
        <v>60</v>
      </c>
      <c r="E85" s="2">
        <v>45516</v>
      </c>
      <c r="F85" s="4">
        <v>45521</v>
      </c>
      <c r="G85" s="1">
        <v>2</v>
      </c>
      <c r="H85" s="1">
        <v>489</v>
      </c>
      <c r="I85" s="1" t="s">
        <v>30</v>
      </c>
      <c r="J85" s="1" t="s">
        <v>36</v>
      </c>
      <c r="K85" s="1" t="s">
        <v>32</v>
      </c>
      <c r="L85" t="str">
        <f>TEXT(Table2[[#This Row],[Order Date]],"YYY")</f>
        <v>2024</v>
      </c>
      <c r="M85" t="str">
        <f>TEXT(Table2[[#This Row],[Order Date]],"MMM")</f>
        <v>Aug</v>
      </c>
      <c r="N85" t="str">
        <f>TEXT(Table2[[#This Row],[Order Date]],"DDD")</f>
        <v>Mon</v>
      </c>
      <c r="O85">
        <f>DATEDIF(Table2[[#This Row],[Order Date]],Table2[[#This Row],[Delivered Date]],"D")</f>
        <v>5</v>
      </c>
      <c r="P85" s="10">
        <f>ROUND(Table2[[#This Row],[Quantity]]*Table2[[#This Row],[Unit Price]]*VLOOKUP(Table2[[#This Row],[Product Name]],Table_1[#All],2,FALSE),0)</f>
        <v>538</v>
      </c>
      <c r="Q85" s="10">
        <f>Table2[[#This Row],[Quantity]]*Table2[[#This Row],[Unit Price]]</f>
        <v>978</v>
      </c>
      <c r="R85" s="10">
        <f>Table2[[#This Row],[Sales Revenue]]-Table2[[#This Row],[Total Cost After Product Percentage Calc]]</f>
        <v>440</v>
      </c>
    </row>
    <row r="86" spans="1:18" ht="14.25" customHeight="1" x14ac:dyDescent="0.3">
      <c r="A86" s="1">
        <v>85</v>
      </c>
      <c r="B86" s="1" t="s">
        <v>135</v>
      </c>
      <c r="C86" s="1" t="s">
        <v>26</v>
      </c>
      <c r="D86" s="1" t="s">
        <v>27</v>
      </c>
      <c r="E86" s="2">
        <v>45548</v>
      </c>
      <c r="F86" s="4">
        <v>45560</v>
      </c>
      <c r="G86" s="1">
        <v>9</v>
      </c>
      <c r="H86" s="1">
        <v>515</v>
      </c>
      <c r="I86" s="1" t="s">
        <v>30</v>
      </c>
      <c r="J86" s="1" t="s">
        <v>31</v>
      </c>
      <c r="K86" s="1" t="s">
        <v>16</v>
      </c>
      <c r="L86" t="str">
        <f>TEXT(Table2[[#This Row],[Order Date]],"YYY")</f>
        <v>2024</v>
      </c>
      <c r="M86" t="str">
        <f>TEXT(Table2[[#This Row],[Order Date]],"MMM")</f>
        <v>Sep</v>
      </c>
      <c r="N86" t="str">
        <f>TEXT(Table2[[#This Row],[Order Date]],"DDD")</f>
        <v>Fri</v>
      </c>
      <c r="O86">
        <f>DATEDIF(Table2[[#This Row],[Order Date]],Table2[[#This Row],[Delivered Date]],"D")</f>
        <v>12</v>
      </c>
      <c r="P86" s="10">
        <f>ROUND(Table2[[#This Row],[Quantity]]*Table2[[#This Row],[Unit Price]]*VLOOKUP(Table2[[#This Row],[Product Name]],Table_1[#All],2,FALSE),0)</f>
        <v>2549</v>
      </c>
      <c r="Q86" s="10">
        <f>Table2[[#This Row],[Quantity]]*Table2[[#This Row],[Unit Price]]</f>
        <v>4635</v>
      </c>
      <c r="R86" s="10">
        <f>Table2[[#This Row],[Sales Revenue]]-Table2[[#This Row],[Total Cost After Product Percentage Calc]]</f>
        <v>2086</v>
      </c>
    </row>
    <row r="87" spans="1:18" ht="14.25" customHeight="1" x14ac:dyDescent="0.3">
      <c r="A87" s="1">
        <v>86</v>
      </c>
      <c r="B87" s="1" t="s">
        <v>136</v>
      </c>
      <c r="C87" s="1" t="s">
        <v>12</v>
      </c>
      <c r="D87" s="1" t="s">
        <v>29</v>
      </c>
      <c r="E87" s="2">
        <v>45457</v>
      </c>
      <c r="F87" s="4">
        <v>45462</v>
      </c>
      <c r="G87" s="1">
        <v>10</v>
      </c>
      <c r="H87" s="1">
        <v>266</v>
      </c>
      <c r="I87" s="1" t="s">
        <v>14</v>
      </c>
      <c r="J87" s="1" t="s">
        <v>15</v>
      </c>
      <c r="K87" s="1" t="s">
        <v>16</v>
      </c>
      <c r="L87" t="str">
        <f>TEXT(Table2[[#This Row],[Order Date]],"YYY")</f>
        <v>2024</v>
      </c>
      <c r="M87" t="str">
        <f>TEXT(Table2[[#This Row],[Order Date]],"MMM")</f>
        <v>Jun</v>
      </c>
      <c r="N87" t="str">
        <f>TEXT(Table2[[#This Row],[Order Date]],"DDD")</f>
        <v>Fri</v>
      </c>
      <c r="O87">
        <f>DATEDIF(Table2[[#This Row],[Order Date]],Table2[[#This Row],[Delivered Date]],"D")</f>
        <v>5</v>
      </c>
      <c r="P87" s="10">
        <f>ROUND(Table2[[#This Row],[Quantity]]*Table2[[#This Row],[Unit Price]]*VLOOKUP(Table2[[#This Row],[Product Name]],Table_1[#All],2,FALSE),0)</f>
        <v>1729</v>
      </c>
      <c r="Q87" s="10">
        <f>Table2[[#This Row],[Quantity]]*Table2[[#This Row],[Unit Price]]</f>
        <v>2660</v>
      </c>
      <c r="R87" s="10">
        <f>Table2[[#This Row],[Sales Revenue]]-Table2[[#This Row],[Total Cost After Product Percentage Calc]]</f>
        <v>931</v>
      </c>
    </row>
    <row r="88" spans="1:18" ht="14.25" customHeight="1" x14ac:dyDescent="0.3">
      <c r="A88" s="1">
        <v>87</v>
      </c>
      <c r="B88" s="1" t="s">
        <v>137</v>
      </c>
      <c r="C88" s="1" t="s">
        <v>18</v>
      </c>
      <c r="D88" s="1" t="s">
        <v>47</v>
      </c>
      <c r="E88" s="2">
        <v>45434</v>
      </c>
      <c r="F88" s="4">
        <v>45444</v>
      </c>
      <c r="G88" s="1">
        <v>3</v>
      </c>
      <c r="H88" s="1">
        <v>609</v>
      </c>
      <c r="I88" s="1" t="s">
        <v>14</v>
      </c>
      <c r="J88" s="1" t="s">
        <v>31</v>
      </c>
      <c r="K88" s="1" t="s">
        <v>16</v>
      </c>
      <c r="L88" t="str">
        <f>TEXT(Table2[[#This Row],[Order Date]],"YYY")</f>
        <v>2024</v>
      </c>
      <c r="M88" t="str">
        <f>TEXT(Table2[[#This Row],[Order Date]],"MMM")</f>
        <v>May</v>
      </c>
      <c r="N88" t="str">
        <f>TEXT(Table2[[#This Row],[Order Date]],"DDD")</f>
        <v>Wed</v>
      </c>
      <c r="O88">
        <f>DATEDIF(Table2[[#This Row],[Order Date]],Table2[[#This Row],[Delivered Date]],"D")</f>
        <v>10</v>
      </c>
      <c r="P88" s="10">
        <f>ROUND(Table2[[#This Row],[Quantity]]*Table2[[#This Row],[Unit Price]]*VLOOKUP(Table2[[#This Row],[Product Name]],Table_1[#All],2,FALSE),0)</f>
        <v>1096</v>
      </c>
      <c r="Q88" s="10">
        <f>Table2[[#This Row],[Quantity]]*Table2[[#This Row],[Unit Price]]</f>
        <v>1827</v>
      </c>
      <c r="R88" s="10">
        <f>Table2[[#This Row],[Sales Revenue]]-Table2[[#This Row],[Total Cost After Product Percentage Calc]]</f>
        <v>731</v>
      </c>
    </row>
    <row r="89" spans="1:18" ht="14.25" customHeight="1" x14ac:dyDescent="0.3">
      <c r="A89" s="1">
        <v>88</v>
      </c>
      <c r="B89" s="1" t="s">
        <v>138</v>
      </c>
      <c r="C89" s="1" t="s">
        <v>26</v>
      </c>
      <c r="D89" s="1" t="s">
        <v>27</v>
      </c>
      <c r="E89" s="2">
        <v>45501</v>
      </c>
      <c r="F89" s="4">
        <v>45505</v>
      </c>
      <c r="G89" s="1">
        <v>6</v>
      </c>
      <c r="H89" s="1">
        <v>338</v>
      </c>
      <c r="I89" s="1" t="s">
        <v>14</v>
      </c>
      <c r="J89" s="1" t="s">
        <v>36</v>
      </c>
      <c r="K89" s="1" t="s">
        <v>16</v>
      </c>
      <c r="L89" t="str">
        <f>TEXT(Table2[[#This Row],[Order Date]],"YYY")</f>
        <v>2024</v>
      </c>
      <c r="M89" t="str">
        <f>TEXT(Table2[[#This Row],[Order Date]],"MMM")</f>
        <v>Jul</v>
      </c>
      <c r="N89" t="str">
        <f>TEXT(Table2[[#This Row],[Order Date]],"DDD")</f>
        <v>Sun</v>
      </c>
      <c r="O89">
        <f>DATEDIF(Table2[[#This Row],[Order Date]],Table2[[#This Row],[Delivered Date]],"D")</f>
        <v>4</v>
      </c>
      <c r="P89" s="10">
        <f>ROUND(Table2[[#This Row],[Quantity]]*Table2[[#This Row],[Unit Price]]*VLOOKUP(Table2[[#This Row],[Product Name]],Table_1[#All],2,FALSE),0)</f>
        <v>1115</v>
      </c>
      <c r="Q89" s="10">
        <f>Table2[[#This Row],[Quantity]]*Table2[[#This Row],[Unit Price]]</f>
        <v>2028</v>
      </c>
      <c r="R89" s="10">
        <f>Table2[[#This Row],[Sales Revenue]]-Table2[[#This Row],[Total Cost After Product Percentage Calc]]</f>
        <v>913</v>
      </c>
    </row>
    <row r="90" spans="1:18" ht="14.25" customHeight="1" x14ac:dyDescent="0.3">
      <c r="A90" s="1">
        <v>89</v>
      </c>
      <c r="B90" s="1" t="s">
        <v>139</v>
      </c>
      <c r="C90" s="1" t="s">
        <v>34</v>
      </c>
      <c r="D90" s="1" t="s">
        <v>54</v>
      </c>
      <c r="E90" s="2">
        <v>45647</v>
      </c>
      <c r="F90" s="4">
        <v>45650</v>
      </c>
      <c r="G90" s="1">
        <v>8</v>
      </c>
      <c r="H90" s="1">
        <v>305</v>
      </c>
      <c r="I90" s="1" t="s">
        <v>30</v>
      </c>
      <c r="J90" s="1" t="s">
        <v>36</v>
      </c>
      <c r="K90" s="1" t="s">
        <v>20</v>
      </c>
      <c r="L90" t="str">
        <f>TEXT(Table2[[#This Row],[Order Date]],"YYY")</f>
        <v>2024</v>
      </c>
      <c r="M90" t="str">
        <f>TEXT(Table2[[#This Row],[Order Date]],"MMM")</f>
        <v>Dec</v>
      </c>
      <c r="N90" t="str">
        <f>TEXT(Table2[[#This Row],[Order Date]],"DDD")</f>
        <v>Sat</v>
      </c>
      <c r="O90">
        <f>DATEDIF(Table2[[#This Row],[Order Date]],Table2[[#This Row],[Delivered Date]],"D")</f>
        <v>3</v>
      </c>
      <c r="P90" s="10">
        <f>ROUND(Table2[[#This Row],[Quantity]]*Table2[[#This Row],[Unit Price]]*VLOOKUP(Table2[[#This Row],[Product Name]],Table_1[#All],2,FALSE),0)</f>
        <v>1708</v>
      </c>
      <c r="Q90" s="10">
        <f>Table2[[#This Row],[Quantity]]*Table2[[#This Row],[Unit Price]]</f>
        <v>2440</v>
      </c>
      <c r="R90" s="10">
        <f>Table2[[#This Row],[Sales Revenue]]-Table2[[#This Row],[Total Cost After Product Percentage Calc]]</f>
        <v>732</v>
      </c>
    </row>
    <row r="91" spans="1:18" ht="14.25" customHeight="1" x14ac:dyDescent="0.3">
      <c r="A91" s="1">
        <v>90</v>
      </c>
      <c r="B91" s="1" t="s">
        <v>140</v>
      </c>
      <c r="C91" s="1" t="s">
        <v>18</v>
      </c>
      <c r="D91" s="1" t="s">
        <v>19</v>
      </c>
      <c r="E91" s="2">
        <v>45628</v>
      </c>
      <c r="F91" s="4">
        <v>45641</v>
      </c>
      <c r="G91" s="1">
        <v>9</v>
      </c>
      <c r="H91" s="1">
        <v>483</v>
      </c>
      <c r="I91" s="1" t="s">
        <v>14</v>
      </c>
      <c r="J91" s="1" t="s">
        <v>31</v>
      </c>
      <c r="K91" s="1" t="s">
        <v>20</v>
      </c>
      <c r="L91" t="str">
        <f>TEXT(Table2[[#This Row],[Order Date]],"YYY")</f>
        <v>2024</v>
      </c>
      <c r="M91" t="str">
        <f>TEXT(Table2[[#This Row],[Order Date]],"MMM")</f>
        <v>Dec</v>
      </c>
      <c r="N91" t="str">
        <f>TEXT(Table2[[#This Row],[Order Date]],"DDD")</f>
        <v>Mon</v>
      </c>
      <c r="O91">
        <f>DATEDIF(Table2[[#This Row],[Order Date]],Table2[[#This Row],[Delivered Date]],"D")</f>
        <v>13</v>
      </c>
      <c r="P91" s="10">
        <f>ROUND(Table2[[#This Row],[Quantity]]*Table2[[#This Row],[Unit Price]]*VLOOKUP(Table2[[#This Row],[Product Name]],Table_1[#All],2,FALSE),0)</f>
        <v>2174</v>
      </c>
      <c r="Q91" s="10">
        <f>Table2[[#This Row],[Quantity]]*Table2[[#This Row],[Unit Price]]</f>
        <v>4347</v>
      </c>
      <c r="R91" s="10">
        <f>Table2[[#This Row],[Sales Revenue]]-Table2[[#This Row],[Total Cost After Product Percentage Calc]]</f>
        <v>2173</v>
      </c>
    </row>
    <row r="92" spans="1:18" ht="14.25" customHeight="1" x14ac:dyDescent="0.3">
      <c r="A92" s="1">
        <v>91</v>
      </c>
      <c r="B92" s="1" t="s">
        <v>141</v>
      </c>
      <c r="C92" s="1" t="s">
        <v>18</v>
      </c>
      <c r="D92" s="1" t="s">
        <v>60</v>
      </c>
      <c r="E92" s="2">
        <v>45610</v>
      </c>
      <c r="F92" s="4">
        <v>45614</v>
      </c>
      <c r="G92" s="1">
        <v>8</v>
      </c>
      <c r="H92" s="1">
        <v>650</v>
      </c>
      <c r="I92" s="1" t="s">
        <v>14</v>
      </c>
      <c r="J92" s="1" t="s">
        <v>31</v>
      </c>
      <c r="K92" s="1" t="s">
        <v>32</v>
      </c>
      <c r="L92" t="str">
        <f>TEXT(Table2[[#This Row],[Order Date]],"YYY")</f>
        <v>2024</v>
      </c>
      <c r="M92" t="str">
        <f>TEXT(Table2[[#This Row],[Order Date]],"MMM")</f>
        <v>Nov</v>
      </c>
      <c r="N92" t="str">
        <f>TEXT(Table2[[#This Row],[Order Date]],"DDD")</f>
        <v>Thu</v>
      </c>
      <c r="O92">
        <f>DATEDIF(Table2[[#This Row],[Order Date]],Table2[[#This Row],[Delivered Date]],"D")</f>
        <v>4</v>
      </c>
      <c r="P92" s="10">
        <f>ROUND(Table2[[#This Row],[Quantity]]*Table2[[#This Row],[Unit Price]]*VLOOKUP(Table2[[#This Row],[Product Name]],Table_1[#All],2,FALSE),0)</f>
        <v>2860</v>
      </c>
      <c r="Q92" s="10">
        <f>Table2[[#This Row],[Quantity]]*Table2[[#This Row],[Unit Price]]</f>
        <v>5200</v>
      </c>
      <c r="R92" s="10">
        <f>Table2[[#This Row],[Sales Revenue]]-Table2[[#This Row],[Total Cost After Product Percentage Calc]]</f>
        <v>2340</v>
      </c>
    </row>
    <row r="93" spans="1:18" ht="14.25" customHeight="1" x14ac:dyDescent="0.3">
      <c r="A93" s="1">
        <v>92</v>
      </c>
      <c r="B93" s="1" t="s">
        <v>142</v>
      </c>
      <c r="C93" s="1" t="s">
        <v>34</v>
      </c>
      <c r="D93" s="1" t="s">
        <v>35</v>
      </c>
      <c r="E93" s="2">
        <v>45359</v>
      </c>
      <c r="F93" s="4">
        <v>45373</v>
      </c>
      <c r="G93" s="1">
        <v>5</v>
      </c>
      <c r="H93" s="1">
        <v>458</v>
      </c>
      <c r="I93" s="1" t="s">
        <v>14</v>
      </c>
      <c r="J93" s="1" t="s">
        <v>36</v>
      </c>
      <c r="K93" s="1" t="s">
        <v>16</v>
      </c>
      <c r="L93" t="str">
        <f>TEXT(Table2[[#This Row],[Order Date]],"YYY")</f>
        <v>2024</v>
      </c>
      <c r="M93" t="str">
        <f>TEXT(Table2[[#This Row],[Order Date]],"MMM")</f>
        <v>Mar</v>
      </c>
      <c r="N93" t="str">
        <f>TEXT(Table2[[#This Row],[Order Date]],"DDD")</f>
        <v>Fri</v>
      </c>
      <c r="O93">
        <f>DATEDIF(Table2[[#This Row],[Order Date]],Table2[[#This Row],[Delivered Date]],"D")</f>
        <v>14</v>
      </c>
      <c r="P93" s="10">
        <f>ROUND(Table2[[#This Row],[Quantity]]*Table2[[#This Row],[Unit Price]]*VLOOKUP(Table2[[#This Row],[Product Name]],Table_1[#All],2,FALSE),0)</f>
        <v>1718</v>
      </c>
      <c r="Q93" s="10">
        <f>Table2[[#This Row],[Quantity]]*Table2[[#This Row],[Unit Price]]</f>
        <v>2290</v>
      </c>
      <c r="R93" s="10">
        <f>Table2[[#This Row],[Sales Revenue]]-Table2[[#This Row],[Total Cost After Product Percentage Calc]]</f>
        <v>572</v>
      </c>
    </row>
    <row r="94" spans="1:18" ht="14.25" customHeight="1" x14ac:dyDescent="0.3">
      <c r="A94" s="1">
        <v>93</v>
      </c>
      <c r="B94" s="1" t="s">
        <v>143</v>
      </c>
      <c r="C94" s="1" t="s">
        <v>12</v>
      </c>
      <c r="D94" s="1" t="s">
        <v>39</v>
      </c>
      <c r="E94" s="2">
        <v>45414</v>
      </c>
      <c r="F94" s="4">
        <v>45425</v>
      </c>
      <c r="G94" s="1">
        <v>3</v>
      </c>
      <c r="H94" s="1">
        <v>328</v>
      </c>
      <c r="I94" s="1" t="s">
        <v>30</v>
      </c>
      <c r="J94" s="1" t="s">
        <v>36</v>
      </c>
      <c r="K94" s="1" t="s">
        <v>16</v>
      </c>
      <c r="L94" t="str">
        <f>TEXT(Table2[[#This Row],[Order Date]],"YYY")</f>
        <v>2024</v>
      </c>
      <c r="M94" t="str">
        <f>TEXT(Table2[[#This Row],[Order Date]],"MMM")</f>
        <v>May</v>
      </c>
      <c r="N94" t="str">
        <f>TEXT(Table2[[#This Row],[Order Date]],"DDD")</f>
        <v>Thu</v>
      </c>
      <c r="O94">
        <f>DATEDIF(Table2[[#This Row],[Order Date]],Table2[[#This Row],[Delivered Date]],"D")</f>
        <v>11</v>
      </c>
      <c r="P94" s="10">
        <f>ROUND(Table2[[#This Row],[Quantity]]*Table2[[#This Row],[Unit Price]]*VLOOKUP(Table2[[#This Row],[Product Name]],Table_1[#All],2,FALSE),0)</f>
        <v>787</v>
      </c>
      <c r="Q94" s="10">
        <f>Table2[[#This Row],[Quantity]]*Table2[[#This Row],[Unit Price]]</f>
        <v>984</v>
      </c>
      <c r="R94" s="10">
        <f>Table2[[#This Row],[Sales Revenue]]-Table2[[#This Row],[Total Cost After Product Percentage Calc]]</f>
        <v>197</v>
      </c>
    </row>
    <row r="95" spans="1:18" ht="14.25" customHeight="1" x14ac:dyDescent="0.3">
      <c r="A95" s="1">
        <v>94</v>
      </c>
      <c r="B95" s="1" t="s">
        <v>144</v>
      </c>
      <c r="C95" s="1" t="s">
        <v>22</v>
      </c>
      <c r="D95" s="1" t="s">
        <v>23</v>
      </c>
      <c r="E95" s="2">
        <v>45574</v>
      </c>
      <c r="F95" s="4">
        <v>45581</v>
      </c>
      <c r="G95" s="1">
        <v>3</v>
      </c>
      <c r="H95" s="1">
        <v>402</v>
      </c>
      <c r="I95" s="1" t="s">
        <v>30</v>
      </c>
      <c r="J95" s="1" t="s">
        <v>15</v>
      </c>
      <c r="K95" s="1" t="s">
        <v>49</v>
      </c>
      <c r="L95" t="str">
        <f>TEXT(Table2[[#This Row],[Order Date]],"YYY")</f>
        <v>2024</v>
      </c>
      <c r="M95" t="str">
        <f>TEXT(Table2[[#This Row],[Order Date]],"MMM")</f>
        <v>Oct</v>
      </c>
      <c r="N95" t="str">
        <f>TEXT(Table2[[#This Row],[Order Date]],"DDD")</f>
        <v>Wed</v>
      </c>
      <c r="O95">
        <f>DATEDIF(Table2[[#This Row],[Order Date]],Table2[[#This Row],[Delivered Date]],"D")</f>
        <v>7</v>
      </c>
      <c r="P95" s="10">
        <f>ROUND(Table2[[#This Row],[Quantity]]*Table2[[#This Row],[Unit Price]]*VLOOKUP(Table2[[#This Row],[Product Name]],Table_1[#All],2,FALSE),0)</f>
        <v>905</v>
      </c>
      <c r="Q95" s="10">
        <f>Table2[[#This Row],[Quantity]]*Table2[[#This Row],[Unit Price]]</f>
        <v>1206</v>
      </c>
      <c r="R95" s="10">
        <f>Table2[[#This Row],[Sales Revenue]]-Table2[[#This Row],[Total Cost After Product Percentage Calc]]</f>
        <v>301</v>
      </c>
    </row>
    <row r="96" spans="1:18" ht="14.25" customHeight="1" x14ac:dyDescent="0.3">
      <c r="A96" s="1">
        <v>95</v>
      </c>
      <c r="B96" s="1" t="s">
        <v>145</v>
      </c>
      <c r="C96" s="1" t="s">
        <v>12</v>
      </c>
      <c r="D96" s="1" t="s">
        <v>100</v>
      </c>
      <c r="E96" s="2">
        <v>45444</v>
      </c>
      <c r="F96" s="4">
        <v>45456</v>
      </c>
      <c r="G96" s="1">
        <v>10</v>
      </c>
      <c r="H96" s="1">
        <v>603</v>
      </c>
      <c r="I96" s="1" t="s">
        <v>14</v>
      </c>
      <c r="J96" s="1" t="s">
        <v>36</v>
      </c>
      <c r="K96" s="1" t="s">
        <v>49</v>
      </c>
      <c r="L96" t="str">
        <f>TEXT(Table2[[#This Row],[Order Date]],"YYY")</f>
        <v>2024</v>
      </c>
      <c r="M96" t="str">
        <f>TEXT(Table2[[#This Row],[Order Date]],"MMM")</f>
        <v>Jun</v>
      </c>
      <c r="N96" t="str">
        <f>TEXT(Table2[[#This Row],[Order Date]],"DDD")</f>
        <v>Sat</v>
      </c>
      <c r="O96">
        <f>DATEDIF(Table2[[#This Row],[Order Date]],Table2[[#This Row],[Delivered Date]],"D")</f>
        <v>12</v>
      </c>
      <c r="P96" s="10">
        <f>ROUND(Table2[[#This Row],[Quantity]]*Table2[[#This Row],[Unit Price]]*VLOOKUP(Table2[[#This Row],[Product Name]],Table_1[#All],2,FALSE),0)</f>
        <v>4221</v>
      </c>
      <c r="Q96" s="10">
        <f>Table2[[#This Row],[Quantity]]*Table2[[#This Row],[Unit Price]]</f>
        <v>6030</v>
      </c>
      <c r="R96" s="10">
        <f>Table2[[#This Row],[Sales Revenue]]-Table2[[#This Row],[Total Cost After Product Percentage Calc]]</f>
        <v>1809</v>
      </c>
    </row>
    <row r="97" spans="1:18" ht="14.25" customHeight="1" x14ac:dyDescent="0.3">
      <c r="A97" s="1">
        <v>96</v>
      </c>
      <c r="B97" s="1" t="s">
        <v>146</v>
      </c>
      <c r="C97" s="1" t="s">
        <v>12</v>
      </c>
      <c r="D97" s="1" t="s">
        <v>39</v>
      </c>
      <c r="E97" s="2">
        <v>45525</v>
      </c>
      <c r="F97" s="4">
        <v>45537</v>
      </c>
      <c r="G97" s="1">
        <v>1</v>
      </c>
      <c r="H97" s="1">
        <v>749</v>
      </c>
      <c r="I97" s="1" t="s">
        <v>30</v>
      </c>
      <c r="J97" s="1" t="s">
        <v>15</v>
      </c>
      <c r="K97" s="1" t="s">
        <v>16</v>
      </c>
      <c r="L97" t="str">
        <f>TEXT(Table2[[#This Row],[Order Date]],"YYY")</f>
        <v>2024</v>
      </c>
      <c r="M97" t="str">
        <f>TEXT(Table2[[#This Row],[Order Date]],"MMM")</f>
        <v>Aug</v>
      </c>
      <c r="N97" t="str">
        <f>TEXT(Table2[[#This Row],[Order Date]],"DDD")</f>
        <v>Wed</v>
      </c>
      <c r="O97">
        <f>DATEDIF(Table2[[#This Row],[Order Date]],Table2[[#This Row],[Delivered Date]],"D")</f>
        <v>12</v>
      </c>
      <c r="P97" s="10">
        <f>ROUND(Table2[[#This Row],[Quantity]]*Table2[[#This Row],[Unit Price]]*VLOOKUP(Table2[[#This Row],[Product Name]],Table_1[#All],2,FALSE),0)</f>
        <v>599</v>
      </c>
      <c r="Q97" s="10">
        <f>Table2[[#This Row],[Quantity]]*Table2[[#This Row],[Unit Price]]</f>
        <v>749</v>
      </c>
      <c r="R97" s="10">
        <f>Table2[[#This Row],[Sales Revenue]]-Table2[[#This Row],[Total Cost After Product Percentage Calc]]</f>
        <v>150</v>
      </c>
    </row>
    <row r="98" spans="1:18" ht="14.25" customHeight="1" x14ac:dyDescent="0.3">
      <c r="A98" s="1">
        <v>97</v>
      </c>
      <c r="B98" s="1" t="s">
        <v>147</v>
      </c>
      <c r="C98" s="1" t="s">
        <v>22</v>
      </c>
      <c r="D98" s="1" t="s">
        <v>43</v>
      </c>
      <c r="E98" s="2">
        <v>45532</v>
      </c>
      <c r="F98" s="4">
        <v>45539</v>
      </c>
      <c r="G98" s="1">
        <v>5</v>
      </c>
      <c r="H98" s="1">
        <v>356</v>
      </c>
      <c r="I98" s="1" t="s">
        <v>30</v>
      </c>
      <c r="J98" s="1" t="s">
        <v>36</v>
      </c>
      <c r="K98" s="1" t="s">
        <v>16</v>
      </c>
      <c r="L98" t="str">
        <f>TEXT(Table2[[#This Row],[Order Date]],"YYY")</f>
        <v>2024</v>
      </c>
      <c r="M98" t="str">
        <f>TEXT(Table2[[#This Row],[Order Date]],"MMM")</f>
        <v>Aug</v>
      </c>
      <c r="N98" t="str">
        <f>TEXT(Table2[[#This Row],[Order Date]],"DDD")</f>
        <v>Wed</v>
      </c>
      <c r="O98">
        <f>DATEDIF(Table2[[#This Row],[Order Date]],Table2[[#This Row],[Delivered Date]],"D")</f>
        <v>7</v>
      </c>
      <c r="P98" s="10">
        <f>ROUND(Table2[[#This Row],[Quantity]]*Table2[[#This Row],[Unit Price]]*VLOOKUP(Table2[[#This Row],[Product Name]],Table_1[#All],2,FALSE),0)</f>
        <v>1157</v>
      </c>
      <c r="Q98" s="10">
        <f>Table2[[#This Row],[Quantity]]*Table2[[#This Row],[Unit Price]]</f>
        <v>1780</v>
      </c>
      <c r="R98" s="10">
        <f>Table2[[#This Row],[Sales Revenue]]-Table2[[#This Row],[Total Cost After Product Percentage Calc]]</f>
        <v>623</v>
      </c>
    </row>
    <row r="99" spans="1:18" ht="14.25" customHeight="1" x14ac:dyDescent="0.3">
      <c r="A99" s="1">
        <v>98</v>
      </c>
      <c r="B99" s="1" t="s">
        <v>148</v>
      </c>
      <c r="C99" s="1" t="s">
        <v>12</v>
      </c>
      <c r="D99" s="1" t="s">
        <v>100</v>
      </c>
      <c r="E99" s="2">
        <v>45637</v>
      </c>
      <c r="F99" s="4">
        <v>45649</v>
      </c>
      <c r="G99" s="1">
        <v>9</v>
      </c>
      <c r="H99" s="1">
        <v>399</v>
      </c>
      <c r="I99" s="1" t="s">
        <v>30</v>
      </c>
      <c r="J99" s="1" t="s">
        <v>52</v>
      </c>
      <c r="K99" s="1" t="s">
        <v>16</v>
      </c>
      <c r="L99" t="str">
        <f>TEXT(Table2[[#This Row],[Order Date]],"YYY")</f>
        <v>2024</v>
      </c>
      <c r="M99" t="str">
        <f>TEXT(Table2[[#This Row],[Order Date]],"MMM")</f>
        <v>Dec</v>
      </c>
      <c r="N99" t="str">
        <f>TEXT(Table2[[#This Row],[Order Date]],"DDD")</f>
        <v>Wed</v>
      </c>
      <c r="O99">
        <f>DATEDIF(Table2[[#This Row],[Order Date]],Table2[[#This Row],[Delivered Date]],"D")</f>
        <v>12</v>
      </c>
      <c r="P99" s="10">
        <f>ROUND(Table2[[#This Row],[Quantity]]*Table2[[#This Row],[Unit Price]]*VLOOKUP(Table2[[#This Row],[Product Name]],Table_1[#All],2,FALSE),0)</f>
        <v>2514</v>
      </c>
      <c r="Q99" s="10">
        <f>Table2[[#This Row],[Quantity]]*Table2[[#This Row],[Unit Price]]</f>
        <v>3591</v>
      </c>
      <c r="R99" s="10">
        <f>Table2[[#This Row],[Sales Revenue]]-Table2[[#This Row],[Total Cost After Product Percentage Calc]]</f>
        <v>1077</v>
      </c>
    </row>
    <row r="100" spans="1:18" ht="14.25" customHeight="1" x14ac:dyDescent="0.3">
      <c r="A100" s="1">
        <v>99</v>
      </c>
      <c r="B100" s="1" t="s">
        <v>149</v>
      </c>
      <c r="C100" s="1" t="s">
        <v>12</v>
      </c>
      <c r="D100" s="1" t="s">
        <v>39</v>
      </c>
      <c r="E100" s="2">
        <v>45327</v>
      </c>
      <c r="F100" s="4">
        <v>45331</v>
      </c>
      <c r="G100" s="1">
        <v>4</v>
      </c>
      <c r="H100" s="1">
        <v>656</v>
      </c>
      <c r="I100" s="1" t="s">
        <v>14</v>
      </c>
      <c r="J100" s="1" t="s">
        <v>36</v>
      </c>
      <c r="K100" s="1" t="s">
        <v>32</v>
      </c>
      <c r="L100" t="str">
        <f>TEXT(Table2[[#This Row],[Order Date]],"YYY")</f>
        <v>2024</v>
      </c>
      <c r="M100" t="str">
        <f>TEXT(Table2[[#This Row],[Order Date]],"MMM")</f>
        <v>Feb</v>
      </c>
      <c r="N100" t="str">
        <f>TEXT(Table2[[#This Row],[Order Date]],"DDD")</f>
        <v>Mon</v>
      </c>
      <c r="O100">
        <f>DATEDIF(Table2[[#This Row],[Order Date]],Table2[[#This Row],[Delivered Date]],"D")</f>
        <v>4</v>
      </c>
      <c r="P100" s="10">
        <f>ROUND(Table2[[#This Row],[Quantity]]*Table2[[#This Row],[Unit Price]]*VLOOKUP(Table2[[#This Row],[Product Name]],Table_1[#All],2,FALSE),0)</f>
        <v>2099</v>
      </c>
      <c r="Q100" s="10">
        <f>Table2[[#This Row],[Quantity]]*Table2[[#This Row],[Unit Price]]</f>
        <v>2624</v>
      </c>
      <c r="R100" s="10">
        <f>Table2[[#This Row],[Sales Revenue]]-Table2[[#This Row],[Total Cost After Product Percentage Calc]]</f>
        <v>525</v>
      </c>
    </row>
    <row r="101" spans="1:18" ht="14.25" customHeight="1" x14ac:dyDescent="0.3">
      <c r="A101" s="1">
        <v>100</v>
      </c>
      <c r="B101" s="1" t="s">
        <v>150</v>
      </c>
      <c r="C101" s="1" t="s">
        <v>12</v>
      </c>
      <c r="D101" s="1" t="s">
        <v>29</v>
      </c>
      <c r="E101" s="2">
        <v>45342</v>
      </c>
      <c r="F101" s="4">
        <v>45346</v>
      </c>
      <c r="G101" s="1">
        <v>2</v>
      </c>
      <c r="H101" s="1">
        <v>464</v>
      </c>
      <c r="I101" s="1" t="s">
        <v>14</v>
      </c>
      <c r="J101" s="1" t="s">
        <v>15</v>
      </c>
      <c r="K101" s="1" t="s">
        <v>20</v>
      </c>
      <c r="L101" t="str">
        <f>TEXT(Table2[[#This Row],[Order Date]],"YYY")</f>
        <v>2024</v>
      </c>
      <c r="M101" t="str">
        <f>TEXT(Table2[[#This Row],[Order Date]],"MMM")</f>
        <v>Feb</v>
      </c>
      <c r="N101" t="str">
        <f>TEXT(Table2[[#This Row],[Order Date]],"DDD")</f>
        <v>Tue</v>
      </c>
      <c r="O101">
        <f>DATEDIF(Table2[[#This Row],[Order Date]],Table2[[#This Row],[Delivered Date]],"D")</f>
        <v>4</v>
      </c>
      <c r="P101" s="10">
        <f>ROUND(Table2[[#This Row],[Quantity]]*Table2[[#This Row],[Unit Price]]*VLOOKUP(Table2[[#This Row],[Product Name]],Table_1[#All],2,FALSE),0)</f>
        <v>603</v>
      </c>
      <c r="Q101" s="10">
        <f>Table2[[#This Row],[Quantity]]*Table2[[#This Row],[Unit Price]]</f>
        <v>928</v>
      </c>
      <c r="R101" s="10">
        <f>Table2[[#This Row],[Sales Revenue]]-Table2[[#This Row],[Total Cost After Product Percentage Calc]]</f>
        <v>325</v>
      </c>
    </row>
    <row r="102" spans="1:18" ht="14.25" customHeight="1" x14ac:dyDescent="0.3">
      <c r="A102" s="1">
        <v>101</v>
      </c>
      <c r="B102" s="1" t="s">
        <v>151</v>
      </c>
      <c r="C102" s="1" t="s">
        <v>12</v>
      </c>
      <c r="D102" s="1" t="s">
        <v>100</v>
      </c>
      <c r="E102" s="2">
        <v>45320</v>
      </c>
      <c r="F102" s="4">
        <v>45327</v>
      </c>
      <c r="G102" s="1">
        <v>5</v>
      </c>
      <c r="H102" s="1">
        <v>377</v>
      </c>
      <c r="I102" s="1" t="s">
        <v>14</v>
      </c>
      <c r="J102" s="1" t="s">
        <v>52</v>
      </c>
      <c r="K102" s="1" t="s">
        <v>20</v>
      </c>
      <c r="L102" t="str">
        <f>TEXT(Table2[[#This Row],[Order Date]],"YYY")</f>
        <v>2024</v>
      </c>
      <c r="M102" t="str">
        <f>TEXT(Table2[[#This Row],[Order Date]],"MMM")</f>
        <v>Jan</v>
      </c>
      <c r="N102" t="str">
        <f>TEXT(Table2[[#This Row],[Order Date]],"DDD")</f>
        <v>Mon</v>
      </c>
      <c r="O102">
        <f>DATEDIF(Table2[[#This Row],[Order Date]],Table2[[#This Row],[Delivered Date]],"D")</f>
        <v>7</v>
      </c>
      <c r="P102" s="10">
        <f>ROUND(Table2[[#This Row],[Quantity]]*Table2[[#This Row],[Unit Price]]*VLOOKUP(Table2[[#This Row],[Product Name]],Table_1[#All],2,FALSE),0)</f>
        <v>1320</v>
      </c>
      <c r="Q102" s="10">
        <f>Table2[[#This Row],[Quantity]]*Table2[[#This Row],[Unit Price]]</f>
        <v>1885</v>
      </c>
      <c r="R102" s="10">
        <f>Table2[[#This Row],[Sales Revenue]]-Table2[[#This Row],[Total Cost After Product Percentage Calc]]</f>
        <v>565</v>
      </c>
    </row>
    <row r="103" spans="1:18" ht="14.25" customHeight="1" x14ac:dyDescent="0.3">
      <c r="A103" s="1">
        <v>102</v>
      </c>
      <c r="B103" s="1" t="s">
        <v>152</v>
      </c>
      <c r="C103" s="1" t="s">
        <v>22</v>
      </c>
      <c r="D103" s="1" t="s">
        <v>56</v>
      </c>
      <c r="E103" s="2">
        <v>45502</v>
      </c>
      <c r="F103" s="4">
        <v>45513</v>
      </c>
      <c r="G103" s="1">
        <v>10</v>
      </c>
      <c r="H103" s="1">
        <v>708</v>
      </c>
      <c r="I103" s="1" t="s">
        <v>14</v>
      </c>
      <c r="J103" s="1" t="s">
        <v>24</v>
      </c>
      <c r="K103" s="1" t="s">
        <v>32</v>
      </c>
      <c r="L103" t="str">
        <f>TEXT(Table2[[#This Row],[Order Date]],"YYY")</f>
        <v>2024</v>
      </c>
      <c r="M103" t="str">
        <f>TEXT(Table2[[#This Row],[Order Date]],"MMM")</f>
        <v>Jul</v>
      </c>
      <c r="N103" t="str">
        <f>TEXT(Table2[[#This Row],[Order Date]],"DDD")</f>
        <v>Mon</v>
      </c>
      <c r="O103">
        <f>DATEDIF(Table2[[#This Row],[Order Date]],Table2[[#This Row],[Delivered Date]],"D")</f>
        <v>11</v>
      </c>
      <c r="P103" s="10">
        <f>ROUND(Table2[[#This Row],[Quantity]]*Table2[[#This Row],[Unit Price]]*VLOOKUP(Table2[[#This Row],[Product Name]],Table_1[#All],2,FALSE),0)</f>
        <v>4956</v>
      </c>
      <c r="Q103" s="10">
        <f>Table2[[#This Row],[Quantity]]*Table2[[#This Row],[Unit Price]]</f>
        <v>7080</v>
      </c>
      <c r="R103" s="10">
        <f>Table2[[#This Row],[Sales Revenue]]-Table2[[#This Row],[Total Cost After Product Percentage Calc]]</f>
        <v>2124</v>
      </c>
    </row>
    <row r="104" spans="1:18" ht="14.25" customHeight="1" x14ac:dyDescent="0.3">
      <c r="A104" s="1">
        <v>103</v>
      </c>
      <c r="B104" s="1" t="s">
        <v>153</v>
      </c>
      <c r="C104" s="1" t="s">
        <v>22</v>
      </c>
      <c r="D104" s="1" t="s">
        <v>43</v>
      </c>
      <c r="E104" s="2">
        <v>45613</v>
      </c>
      <c r="F104" s="4">
        <v>45619</v>
      </c>
      <c r="G104" s="1">
        <v>1</v>
      </c>
      <c r="H104" s="1">
        <v>326</v>
      </c>
      <c r="I104" s="1" t="s">
        <v>14</v>
      </c>
      <c r="J104" s="1" t="s">
        <v>24</v>
      </c>
      <c r="K104" s="1" t="s">
        <v>49</v>
      </c>
      <c r="L104" t="str">
        <f>TEXT(Table2[[#This Row],[Order Date]],"YYY")</f>
        <v>2024</v>
      </c>
      <c r="M104" t="str">
        <f>TEXT(Table2[[#This Row],[Order Date]],"MMM")</f>
        <v>Nov</v>
      </c>
      <c r="N104" t="str">
        <f>TEXT(Table2[[#This Row],[Order Date]],"DDD")</f>
        <v>Sun</v>
      </c>
      <c r="O104">
        <f>DATEDIF(Table2[[#This Row],[Order Date]],Table2[[#This Row],[Delivered Date]],"D")</f>
        <v>6</v>
      </c>
      <c r="P104" s="10">
        <f>ROUND(Table2[[#This Row],[Quantity]]*Table2[[#This Row],[Unit Price]]*VLOOKUP(Table2[[#This Row],[Product Name]],Table_1[#All],2,FALSE),0)</f>
        <v>212</v>
      </c>
      <c r="Q104" s="10">
        <f>Table2[[#This Row],[Quantity]]*Table2[[#This Row],[Unit Price]]</f>
        <v>326</v>
      </c>
      <c r="R104" s="10">
        <f>Table2[[#This Row],[Sales Revenue]]-Table2[[#This Row],[Total Cost After Product Percentage Calc]]</f>
        <v>114</v>
      </c>
    </row>
    <row r="105" spans="1:18" ht="14.25" customHeight="1" x14ac:dyDescent="0.3">
      <c r="A105" s="1">
        <v>104</v>
      </c>
      <c r="B105" s="1" t="s">
        <v>154</v>
      </c>
      <c r="C105" s="1" t="s">
        <v>18</v>
      </c>
      <c r="D105" s="1" t="s">
        <v>60</v>
      </c>
      <c r="E105" s="2">
        <v>45359</v>
      </c>
      <c r="F105" s="4">
        <v>45369</v>
      </c>
      <c r="G105" s="1">
        <v>2</v>
      </c>
      <c r="H105" s="1">
        <v>941</v>
      </c>
      <c r="I105" s="1" t="s">
        <v>30</v>
      </c>
      <c r="J105" s="1" t="s">
        <v>52</v>
      </c>
      <c r="K105" s="1" t="s">
        <v>32</v>
      </c>
      <c r="L105" t="str">
        <f>TEXT(Table2[[#This Row],[Order Date]],"YYY")</f>
        <v>2024</v>
      </c>
      <c r="M105" t="str">
        <f>TEXT(Table2[[#This Row],[Order Date]],"MMM")</f>
        <v>Mar</v>
      </c>
      <c r="N105" t="str">
        <f>TEXT(Table2[[#This Row],[Order Date]],"DDD")</f>
        <v>Fri</v>
      </c>
      <c r="O105">
        <f>DATEDIF(Table2[[#This Row],[Order Date]],Table2[[#This Row],[Delivered Date]],"D")</f>
        <v>10</v>
      </c>
      <c r="P105" s="10">
        <f>ROUND(Table2[[#This Row],[Quantity]]*Table2[[#This Row],[Unit Price]]*VLOOKUP(Table2[[#This Row],[Product Name]],Table_1[#All],2,FALSE),0)</f>
        <v>1035</v>
      </c>
      <c r="Q105" s="10">
        <f>Table2[[#This Row],[Quantity]]*Table2[[#This Row],[Unit Price]]</f>
        <v>1882</v>
      </c>
      <c r="R105" s="10">
        <f>Table2[[#This Row],[Sales Revenue]]-Table2[[#This Row],[Total Cost After Product Percentage Calc]]</f>
        <v>847</v>
      </c>
    </row>
    <row r="106" spans="1:18" ht="14.25" customHeight="1" x14ac:dyDescent="0.3">
      <c r="A106" s="1">
        <v>105</v>
      </c>
      <c r="B106" s="1" t="s">
        <v>155</v>
      </c>
      <c r="C106" s="1" t="s">
        <v>26</v>
      </c>
      <c r="D106" s="1" t="s">
        <v>104</v>
      </c>
      <c r="E106" s="2">
        <v>45394</v>
      </c>
      <c r="F106" s="4">
        <v>45403</v>
      </c>
      <c r="G106" s="1">
        <v>3</v>
      </c>
      <c r="H106" s="1">
        <v>815</v>
      </c>
      <c r="I106" s="1" t="s">
        <v>30</v>
      </c>
      <c r="J106" s="1" t="s">
        <v>36</v>
      </c>
      <c r="K106" s="1" t="s">
        <v>32</v>
      </c>
      <c r="L106" t="str">
        <f>TEXT(Table2[[#This Row],[Order Date]],"YYY")</f>
        <v>2024</v>
      </c>
      <c r="M106" t="str">
        <f>TEXT(Table2[[#This Row],[Order Date]],"MMM")</f>
        <v>Apr</v>
      </c>
      <c r="N106" t="str">
        <f>TEXT(Table2[[#This Row],[Order Date]],"DDD")</f>
        <v>Fri</v>
      </c>
      <c r="O106">
        <f>DATEDIF(Table2[[#This Row],[Order Date]],Table2[[#This Row],[Delivered Date]],"D")</f>
        <v>9</v>
      </c>
      <c r="P106" s="10">
        <f>ROUND(Table2[[#This Row],[Quantity]]*Table2[[#This Row],[Unit Price]]*VLOOKUP(Table2[[#This Row],[Product Name]],Table_1[#All],2,FALSE),0)</f>
        <v>1467</v>
      </c>
      <c r="Q106" s="10">
        <f>Table2[[#This Row],[Quantity]]*Table2[[#This Row],[Unit Price]]</f>
        <v>2445</v>
      </c>
      <c r="R106" s="10">
        <f>Table2[[#This Row],[Sales Revenue]]-Table2[[#This Row],[Total Cost After Product Percentage Calc]]</f>
        <v>978</v>
      </c>
    </row>
    <row r="107" spans="1:18" ht="14.25" customHeight="1" x14ac:dyDescent="0.3">
      <c r="A107" s="1">
        <v>106</v>
      </c>
      <c r="B107" s="1" t="s">
        <v>156</v>
      </c>
      <c r="C107" s="1" t="s">
        <v>34</v>
      </c>
      <c r="D107" s="1" t="s">
        <v>80</v>
      </c>
      <c r="E107" s="2">
        <v>45531</v>
      </c>
      <c r="F107" s="4">
        <v>45538</v>
      </c>
      <c r="G107" s="1">
        <v>2</v>
      </c>
      <c r="H107" s="1">
        <v>154</v>
      </c>
      <c r="I107" s="1" t="s">
        <v>30</v>
      </c>
      <c r="J107" s="1" t="s">
        <v>24</v>
      </c>
      <c r="K107" s="1" t="s">
        <v>32</v>
      </c>
      <c r="L107" t="str">
        <f>TEXT(Table2[[#This Row],[Order Date]],"YYY")</f>
        <v>2024</v>
      </c>
      <c r="M107" t="str">
        <f>TEXT(Table2[[#This Row],[Order Date]],"MMM")</f>
        <v>Aug</v>
      </c>
      <c r="N107" t="str">
        <f>TEXT(Table2[[#This Row],[Order Date]],"DDD")</f>
        <v>Tue</v>
      </c>
      <c r="O107">
        <f>DATEDIF(Table2[[#This Row],[Order Date]],Table2[[#This Row],[Delivered Date]],"D")</f>
        <v>7</v>
      </c>
      <c r="P107" s="10">
        <f>ROUND(Table2[[#This Row],[Quantity]]*Table2[[#This Row],[Unit Price]]*VLOOKUP(Table2[[#This Row],[Product Name]],Table_1[#All],2,FALSE),0)</f>
        <v>231</v>
      </c>
      <c r="Q107" s="10">
        <f>Table2[[#This Row],[Quantity]]*Table2[[#This Row],[Unit Price]]</f>
        <v>308</v>
      </c>
      <c r="R107" s="10">
        <f>Table2[[#This Row],[Sales Revenue]]-Table2[[#This Row],[Total Cost After Product Percentage Calc]]</f>
        <v>77</v>
      </c>
    </row>
    <row r="108" spans="1:18" ht="14.25" customHeight="1" x14ac:dyDescent="0.3">
      <c r="A108" s="1">
        <v>107</v>
      </c>
      <c r="B108" s="1" t="s">
        <v>157</v>
      </c>
      <c r="C108" s="1" t="s">
        <v>18</v>
      </c>
      <c r="D108" s="1" t="s">
        <v>19</v>
      </c>
      <c r="E108" s="2">
        <v>45524</v>
      </c>
      <c r="F108" s="4">
        <v>45534</v>
      </c>
      <c r="G108" s="1">
        <v>6</v>
      </c>
      <c r="H108" s="1">
        <v>698</v>
      </c>
      <c r="I108" s="1" t="s">
        <v>30</v>
      </c>
      <c r="J108" s="1" t="s">
        <v>36</v>
      </c>
      <c r="K108" s="1" t="s">
        <v>32</v>
      </c>
      <c r="L108" t="str">
        <f>TEXT(Table2[[#This Row],[Order Date]],"YYY")</f>
        <v>2024</v>
      </c>
      <c r="M108" t="str">
        <f>TEXT(Table2[[#This Row],[Order Date]],"MMM")</f>
        <v>Aug</v>
      </c>
      <c r="N108" t="str">
        <f>TEXT(Table2[[#This Row],[Order Date]],"DDD")</f>
        <v>Tue</v>
      </c>
      <c r="O108">
        <f>DATEDIF(Table2[[#This Row],[Order Date]],Table2[[#This Row],[Delivered Date]],"D")</f>
        <v>10</v>
      </c>
      <c r="P108" s="10">
        <f>ROUND(Table2[[#This Row],[Quantity]]*Table2[[#This Row],[Unit Price]]*VLOOKUP(Table2[[#This Row],[Product Name]],Table_1[#All],2,FALSE),0)</f>
        <v>2094</v>
      </c>
      <c r="Q108" s="10">
        <f>Table2[[#This Row],[Quantity]]*Table2[[#This Row],[Unit Price]]</f>
        <v>4188</v>
      </c>
      <c r="R108" s="10">
        <f>Table2[[#This Row],[Sales Revenue]]-Table2[[#This Row],[Total Cost After Product Percentage Calc]]</f>
        <v>2094</v>
      </c>
    </row>
    <row r="109" spans="1:18" ht="14.25" customHeight="1" x14ac:dyDescent="0.3">
      <c r="A109" s="1">
        <v>108</v>
      </c>
      <c r="B109" s="1" t="s">
        <v>158</v>
      </c>
      <c r="C109" s="1" t="s">
        <v>26</v>
      </c>
      <c r="D109" s="1" t="s">
        <v>27</v>
      </c>
      <c r="E109" s="2">
        <v>45347</v>
      </c>
      <c r="F109" s="4">
        <v>45353</v>
      </c>
      <c r="G109" s="1">
        <v>4</v>
      </c>
      <c r="H109" s="1">
        <v>492</v>
      </c>
      <c r="I109" s="1" t="s">
        <v>30</v>
      </c>
      <c r="J109" s="1" t="s">
        <v>15</v>
      </c>
      <c r="K109" s="1" t="s">
        <v>16</v>
      </c>
      <c r="L109" t="str">
        <f>TEXT(Table2[[#This Row],[Order Date]],"YYY")</f>
        <v>2024</v>
      </c>
      <c r="M109" t="str">
        <f>TEXT(Table2[[#This Row],[Order Date]],"MMM")</f>
        <v>Feb</v>
      </c>
      <c r="N109" t="str">
        <f>TEXT(Table2[[#This Row],[Order Date]],"DDD")</f>
        <v>Sun</v>
      </c>
      <c r="O109">
        <f>DATEDIF(Table2[[#This Row],[Order Date]],Table2[[#This Row],[Delivered Date]],"D")</f>
        <v>6</v>
      </c>
      <c r="P109" s="10">
        <f>ROUND(Table2[[#This Row],[Quantity]]*Table2[[#This Row],[Unit Price]]*VLOOKUP(Table2[[#This Row],[Product Name]],Table_1[#All],2,FALSE),0)</f>
        <v>1082</v>
      </c>
      <c r="Q109" s="10">
        <f>Table2[[#This Row],[Quantity]]*Table2[[#This Row],[Unit Price]]</f>
        <v>1968</v>
      </c>
      <c r="R109" s="10">
        <f>Table2[[#This Row],[Sales Revenue]]-Table2[[#This Row],[Total Cost After Product Percentage Calc]]</f>
        <v>886</v>
      </c>
    </row>
    <row r="110" spans="1:18" ht="14.25" customHeight="1" x14ac:dyDescent="0.3">
      <c r="A110" s="1">
        <v>109</v>
      </c>
      <c r="B110" s="1" t="s">
        <v>159</v>
      </c>
      <c r="C110" s="1" t="s">
        <v>34</v>
      </c>
      <c r="D110" s="1" t="s">
        <v>35</v>
      </c>
      <c r="E110" s="2">
        <v>45405</v>
      </c>
      <c r="F110" s="4">
        <v>45410</v>
      </c>
      <c r="G110" s="1">
        <v>2</v>
      </c>
      <c r="H110" s="1">
        <v>660</v>
      </c>
      <c r="I110" s="1" t="s">
        <v>30</v>
      </c>
      <c r="J110" s="1" t="s">
        <v>24</v>
      </c>
      <c r="K110" s="1" t="s">
        <v>49</v>
      </c>
      <c r="L110" t="str">
        <f>TEXT(Table2[[#This Row],[Order Date]],"YYY")</f>
        <v>2024</v>
      </c>
      <c r="M110" t="str">
        <f>TEXT(Table2[[#This Row],[Order Date]],"MMM")</f>
        <v>Apr</v>
      </c>
      <c r="N110" t="str">
        <f>TEXT(Table2[[#This Row],[Order Date]],"DDD")</f>
        <v>Tue</v>
      </c>
      <c r="O110">
        <f>DATEDIF(Table2[[#This Row],[Order Date]],Table2[[#This Row],[Delivered Date]],"D")</f>
        <v>5</v>
      </c>
      <c r="P110" s="10">
        <f>ROUND(Table2[[#This Row],[Quantity]]*Table2[[#This Row],[Unit Price]]*VLOOKUP(Table2[[#This Row],[Product Name]],Table_1[#All],2,FALSE),0)</f>
        <v>990</v>
      </c>
      <c r="Q110" s="10">
        <f>Table2[[#This Row],[Quantity]]*Table2[[#This Row],[Unit Price]]</f>
        <v>1320</v>
      </c>
      <c r="R110" s="10">
        <f>Table2[[#This Row],[Sales Revenue]]-Table2[[#This Row],[Total Cost After Product Percentage Calc]]</f>
        <v>330</v>
      </c>
    </row>
    <row r="111" spans="1:18" ht="14.25" customHeight="1" x14ac:dyDescent="0.3">
      <c r="A111" s="1">
        <v>110</v>
      </c>
      <c r="B111" s="1" t="s">
        <v>160</v>
      </c>
      <c r="C111" s="1" t="s">
        <v>26</v>
      </c>
      <c r="D111" s="1" t="s">
        <v>104</v>
      </c>
      <c r="E111" s="2">
        <v>45477</v>
      </c>
      <c r="F111" s="4">
        <v>45484</v>
      </c>
      <c r="G111" s="1">
        <v>2</v>
      </c>
      <c r="H111" s="1">
        <v>712</v>
      </c>
      <c r="I111" s="1" t="s">
        <v>30</v>
      </c>
      <c r="J111" s="1" t="s">
        <v>52</v>
      </c>
      <c r="K111" s="1" t="s">
        <v>16</v>
      </c>
      <c r="L111" t="str">
        <f>TEXT(Table2[[#This Row],[Order Date]],"YYY")</f>
        <v>2024</v>
      </c>
      <c r="M111" t="str">
        <f>TEXT(Table2[[#This Row],[Order Date]],"MMM")</f>
        <v>Jul</v>
      </c>
      <c r="N111" t="str">
        <f>TEXT(Table2[[#This Row],[Order Date]],"DDD")</f>
        <v>Thu</v>
      </c>
      <c r="O111">
        <f>DATEDIF(Table2[[#This Row],[Order Date]],Table2[[#This Row],[Delivered Date]],"D")</f>
        <v>7</v>
      </c>
      <c r="P111" s="10">
        <f>ROUND(Table2[[#This Row],[Quantity]]*Table2[[#This Row],[Unit Price]]*VLOOKUP(Table2[[#This Row],[Product Name]],Table_1[#All],2,FALSE),0)</f>
        <v>854</v>
      </c>
      <c r="Q111" s="10">
        <f>Table2[[#This Row],[Quantity]]*Table2[[#This Row],[Unit Price]]</f>
        <v>1424</v>
      </c>
      <c r="R111" s="10">
        <f>Table2[[#This Row],[Sales Revenue]]-Table2[[#This Row],[Total Cost After Product Percentage Calc]]</f>
        <v>570</v>
      </c>
    </row>
    <row r="112" spans="1:18" ht="14.25" customHeight="1" x14ac:dyDescent="0.3">
      <c r="A112" s="1">
        <v>111</v>
      </c>
      <c r="B112" s="1" t="s">
        <v>161</v>
      </c>
      <c r="C112" s="1" t="s">
        <v>34</v>
      </c>
      <c r="D112" s="1" t="s">
        <v>80</v>
      </c>
      <c r="E112" s="2">
        <v>45495</v>
      </c>
      <c r="F112" s="4">
        <v>45499</v>
      </c>
      <c r="G112" s="1">
        <v>5</v>
      </c>
      <c r="H112" s="1">
        <v>204</v>
      </c>
      <c r="I112" s="1" t="s">
        <v>14</v>
      </c>
      <c r="J112" s="1" t="s">
        <v>15</v>
      </c>
      <c r="K112" s="1" t="s">
        <v>49</v>
      </c>
      <c r="L112" t="str">
        <f>TEXT(Table2[[#This Row],[Order Date]],"YYY")</f>
        <v>2024</v>
      </c>
      <c r="M112" t="str">
        <f>TEXT(Table2[[#This Row],[Order Date]],"MMM")</f>
        <v>Jul</v>
      </c>
      <c r="N112" t="str">
        <f>TEXT(Table2[[#This Row],[Order Date]],"DDD")</f>
        <v>Mon</v>
      </c>
      <c r="O112">
        <f>DATEDIF(Table2[[#This Row],[Order Date]],Table2[[#This Row],[Delivered Date]],"D")</f>
        <v>4</v>
      </c>
      <c r="P112" s="10">
        <f>ROUND(Table2[[#This Row],[Quantity]]*Table2[[#This Row],[Unit Price]]*VLOOKUP(Table2[[#This Row],[Product Name]],Table_1[#All],2,FALSE),0)</f>
        <v>765</v>
      </c>
      <c r="Q112" s="10">
        <f>Table2[[#This Row],[Quantity]]*Table2[[#This Row],[Unit Price]]</f>
        <v>1020</v>
      </c>
      <c r="R112" s="10">
        <f>Table2[[#This Row],[Sales Revenue]]-Table2[[#This Row],[Total Cost After Product Percentage Calc]]</f>
        <v>255</v>
      </c>
    </row>
    <row r="113" spans="1:18" ht="14.25" customHeight="1" x14ac:dyDescent="0.3">
      <c r="A113" s="1">
        <v>112</v>
      </c>
      <c r="B113" s="1" t="s">
        <v>162</v>
      </c>
      <c r="C113" s="1" t="s">
        <v>22</v>
      </c>
      <c r="D113" s="1" t="s">
        <v>56</v>
      </c>
      <c r="E113" s="2">
        <v>45302</v>
      </c>
      <c r="F113" s="4">
        <v>45308</v>
      </c>
      <c r="G113" s="1">
        <v>1</v>
      </c>
      <c r="H113" s="1">
        <v>815</v>
      </c>
      <c r="I113" s="1" t="s">
        <v>14</v>
      </c>
      <c r="J113" s="1" t="s">
        <v>52</v>
      </c>
      <c r="K113" s="1" t="s">
        <v>16</v>
      </c>
      <c r="L113" t="str">
        <f>TEXT(Table2[[#This Row],[Order Date]],"YYY")</f>
        <v>2024</v>
      </c>
      <c r="M113" t="str">
        <f>TEXT(Table2[[#This Row],[Order Date]],"MMM")</f>
        <v>Jan</v>
      </c>
      <c r="N113" t="str">
        <f>TEXT(Table2[[#This Row],[Order Date]],"DDD")</f>
        <v>Thu</v>
      </c>
      <c r="O113">
        <f>DATEDIF(Table2[[#This Row],[Order Date]],Table2[[#This Row],[Delivered Date]],"D")</f>
        <v>6</v>
      </c>
      <c r="P113" s="10">
        <f>ROUND(Table2[[#This Row],[Quantity]]*Table2[[#This Row],[Unit Price]]*VLOOKUP(Table2[[#This Row],[Product Name]],Table_1[#All],2,FALSE),0)</f>
        <v>571</v>
      </c>
      <c r="Q113" s="10">
        <f>Table2[[#This Row],[Quantity]]*Table2[[#This Row],[Unit Price]]</f>
        <v>815</v>
      </c>
      <c r="R113" s="10">
        <f>Table2[[#This Row],[Sales Revenue]]-Table2[[#This Row],[Total Cost After Product Percentage Calc]]</f>
        <v>244</v>
      </c>
    </row>
    <row r="114" spans="1:18" ht="14.25" customHeight="1" x14ac:dyDescent="0.3">
      <c r="A114" s="1">
        <v>113</v>
      </c>
      <c r="B114" s="1" t="s">
        <v>163</v>
      </c>
      <c r="C114" s="1" t="s">
        <v>18</v>
      </c>
      <c r="D114" s="1" t="s">
        <v>68</v>
      </c>
      <c r="E114" s="2">
        <v>45327</v>
      </c>
      <c r="F114" s="4">
        <v>45335</v>
      </c>
      <c r="G114" s="1">
        <v>9</v>
      </c>
      <c r="H114" s="1">
        <v>222</v>
      </c>
      <c r="I114" s="1" t="s">
        <v>14</v>
      </c>
      <c r="J114" s="1" t="s">
        <v>36</v>
      </c>
      <c r="K114" s="1" t="s">
        <v>20</v>
      </c>
      <c r="L114" t="str">
        <f>TEXT(Table2[[#This Row],[Order Date]],"YYY")</f>
        <v>2024</v>
      </c>
      <c r="M114" t="str">
        <f>TEXT(Table2[[#This Row],[Order Date]],"MMM")</f>
        <v>Feb</v>
      </c>
      <c r="N114" t="str">
        <f>TEXT(Table2[[#This Row],[Order Date]],"DDD")</f>
        <v>Mon</v>
      </c>
      <c r="O114">
        <f>DATEDIF(Table2[[#This Row],[Order Date]],Table2[[#This Row],[Delivered Date]],"D")</f>
        <v>8</v>
      </c>
      <c r="P114" s="10">
        <f>ROUND(Table2[[#This Row],[Quantity]]*Table2[[#This Row],[Unit Price]]*VLOOKUP(Table2[[#This Row],[Product Name]],Table_1[#All],2,FALSE),0)</f>
        <v>999</v>
      </c>
      <c r="Q114" s="10">
        <f>Table2[[#This Row],[Quantity]]*Table2[[#This Row],[Unit Price]]</f>
        <v>1998</v>
      </c>
      <c r="R114" s="10">
        <f>Table2[[#This Row],[Sales Revenue]]-Table2[[#This Row],[Total Cost After Product Percentage Calc]]</f>
        <v>999</v>
      </c>
    </row>
    <row r="115" spans="1:18" ht="14.25" customHeight="1" x14ac:dyDescent="0.3">
      <c r="A115" s="1">
        <v>114</v>
      </c>
      <c r="B115" s="1" t="s">
        <v>164</v>
      </c>
      <c r="C115" s="1" t="s">
        <v>34</v>
      </c>
      <c r="D115" s="1" t="s">
        <v>45</v>
      </c>
      <c r="E115" s="2">
        <v>45597</v>
      </c>
      <c r="F115" s="4">
        <v>45605</v>
      </c>
      <c r="G115" s="1">
        <v>1</v>
      </c>
      <c r="H115" s="1">
        <v>293</v>
      </c>
      <c r="I115" s="1" t="s">
        <v>14</v>
      </c>
      <c r="J115" s="1" t="s">
        <v>24</v>
      </c>
      <c r="K115" s="1" t="s">
        <v>32</v>
      </c>
      <c r="L115" t="str">
        <f>TEXT(Table2[[#This Row],[Order Date]],"YYY")</f>
        <v>2024</v>
      </c>
      <c r="M115" t="str">
        <f>TEXT(Table2[[#This Row],[Order Date]],"MMM")</f>
        <v>Nov</v>
      </c>
      <c r="N115" t="str">
        <f>TEXT(Table2[[#This Row],[Order Date]],"DDD")</f>
        <v>Fri</v>
      </c>
      <c r="O115">
        <f>DATEDIF(Table2[[#This Row],[Order Date]],Table2[[#This Row],[Delivered Date]],"D")</f>
        <v>8</v>
      </c>
      <c r="P115" s="10">
        <f>ROUND(Table2[[#This Row],[Quantity]]*Table2[[#This Row],[Unit Price]]*VLOOKUP(Table2[[#This Row],[Product Name]],Table_1[#All],2,FALSE),0)</f>
        <v>190</v>
      </c>
      <c r="Q115" s="10">
        <f>Table2[[#This Row],[Quantity]]*Table2[[#This Row],[Unit Price]]</f>
        <v>293</v>
      </c>
      <c r="R115" s="10">
        <f>Table2[[#This Row],[Sales Revenue]]-Table2[[#This Row],[Total Cost After Product Percentage Calc]]</f>
        <v>103</v>
      </c>
    </row>
    <row r="116" spans="1:18" ht="14.25" customHeight="1" x14ac:dyDescent="0.3">
      <c r="A116" s="1">
        <v>115</v>
      </c>
      <c r="B116" s="1" t="s">
        <v>165</v>
      </c>
      <c r="C116" s="1" t="s">
        <v>18</v>
      </c>
      <c r="D116" s="1" t="s">
        <v>60</v>
      </c>
      <c r="E116" s="2">
        <v>45381</v>
      </c>
      <c r="F116" s="4">
        <v>45387</v>
      </c>
      <c r="G116" s="1">
        <v>2</v>
      </c>
      <c r="H116" s="1">
        <v>686</v>
      </c>
      <c r="I116" s="1" t="s">
        <v>14</v>
      </c>
      <c r="J116" s="1" t="s">
        <v>24</v>
      </c>
      <c r="K116" s="1" t="s">
        <v>16</v>
      </c>
      <c r="L116" t="str">
        <f>TEXT(Table2[[#This Row],[Order Date]],"YYY")</f>
        <v>2024</v>
      </c>
      <c r="M116" t="str">
        <f>TEXT(Table2[[#This Row],[Order Date]],"MMM")</f>
        <v>Mar</v>
      </c>
      <c r="N116" t="str">
        <f>TEXT(Table2[[#This Row],[Order Date]],"DDD")</f>
        <v>Sat</v>
      </c>
      <c r="O116">
        <f>DATEDIF(Table2[[#This Row],[Order Date]],Table2[[#This Row],[Delivered Date]],"D")</f>
        <v>6</v>
      </c>
      <c r="P116" s="10">
        <f>ROUND(Table2[[#This Row],[Quantity]]*Table2[[#This Row],[Unit Price]]*VLOOKUP(Table2[[#This Row],[Product Name]],Table_1[#All],2,FALSE),0)</f>
        <v>755</v>
      </c>
      <c r="Q116" s="10">
        <f>Table2[[#This Row],[Quantity]]*Table2[[#This Row],[Unit Price]]</f>
        <v>1372</v>
      </c>
      <c r="R116" s="10">
        <f>Table2[[#This Row],[Sales Revenue]]-Table2[[#This Row],[Total Cost After Product Percentage Calc]]</f>
        <v>617</v>
      </c>
    </row>
    <row r="117" spans="1:18" ht="14.25" customHeight="1" x14ac:dyDescent="0.3">
      <c r="A117" s="1">
        <v>116</v>
      </c>
      <c r="B117" s="1" t="s">
        <v>166</v>
      </c>
      <c r="C117" s="1" t="s">
        <v>26</v>
      </c>
      <c r="D117" s="1" t="s">
        <v>27</v>
      </c>
      <c r="E117" s="2">
        <v>45554</v>
      </c>
      <c r="F117" s="4">
        <v>45564</v>
      </c>
      <c r="G117" s="1">
        <v>10</v>
      </c>
      <c r="H117" s="1">
        <v>121</v>
      </c>
      <c r="I117" s="1" t="s">
        <v>14</v>
      </c>
      <c r="J117" s="1" t="s">
        <v>31</v>
      </c>
      <c r="K117" s="1" t="s">
        <v>32</v>
      </c>
      <c r="L117" t="str">
        <f>TEXT(Table2[[#This Row],[Order Date]],"YYY")</f>
        <v>2024</v>
      </c>
      <c r="M117" t="str">
        <f>TEXT(Table2[[#This Row],[Order Date]],"MMM")</f>
        <v>Sep</v>
      </c>
      <c r="N117" t="str">
        <f>TEXT(Table2[[#This Row],[Order Date]],"DDD")</f>
        <v>Thu</v>
      </c>
      <c r="O117">
        <f>DATEDIF(Table2[[#This Row],[Order Date]],Table2[[#This Row],[Delivered Date]],"D")</f>
        <v>10</v>
      </c>
      <c r="P117" s="10">
        <f>ROUND(Table2[[#This Row],[Quantity]]*Table2[[#This Row],[Unit Price]]*VLOOKUP(Table2[[#This Row],[Product Name]],Table_1[#All],2,FALSE),0)</f>
        <v>666</v>
      </c>
      <c r="Q117" s="10">
        <f>Table2[[#This Row],[Quantity]]*Table2[[#This Row],[Unit Price]]</f>
        <v>1210</v>
      </c>
      <c r="R117" s="10">
        <f>Table2[[#This Row],[Sales Revenue]]-Table2[[#This Row],[Total Cost After Product Percentage Calc]]</f>
        <v>544</v>
      </c>
    </row>
    <row r="118" spans="1:18" ht="14.25" customHeight="1" x14ac:dyDescent="0.3">
      <c r="A118" s="1">
        <v>117</v>
      </c>
      <c r="B118" s="1" t="s">
        <v>167</v>
      </c>
      <c r="C118" s="1" t="s">
        <v>18</v>
      </c>
      <c r="D118" s="1" t="s">
        <v>19</v>
      </c>
      <c r="E118" s="2">
        <v>45629</v>
      </c>
      <c r="F118" s="4">
        <v>45633</v>
      </c>
      <c r="G118" s="1">
        <v>9</v>
      </c>
      <c r="H118" s="1">
        <v>318</v>
      </c>
      <c r="I118" s="1" t="s">
        <v>14</v>
      </c>
      <c r="J118" s="1" t="s">
        <v>31</v>
      </c>
      <c r="K118" s="1" t="s">
        <v>20</v>
      </c>
      <c r="L118" t="str">
        <f>TEXT(Table2[[#This Row],[Order Date]],"YYY")</f>
        <v>2024</v>
      </c>
      <c r="M118" t="str">
        <f>TEXT(Table2[[#This Row],[Order Date]],"MMM")</f>
        <v>Dec</v>
      </c>
      <c r="N118" t="str">
        <f>TEXT(Table2[[#This Row],[Order Date]],"DDD")</f>
        <v>Tue</v>
      </c>
      <c r="O118">
        <f>DATEDIF(Table2[[#This Row],[Order Date]],Table2[[#This Row],[Delivered Date]],"D")</f>
        <v>4</v>
      </c>
      <c r="P118" s="10">
        <f>ROUND(Table2[[#This Row],[Quantity]]*Table2[[#This Row],[Unit Price]]*VLOOKUP(Table2[[#This Row],[Product Name]],Table_1[#All],2,FALSE),0)</f>
        <v>1431</v>
      </c>
      <c r="Q118" s="10">
        <f>Table2[[#This Row],[Quantity]]*Table2[[#This Row],[Unit Price]]</f>
        <v>2862</v>
      </c>
      <c r="R118" s="10">
        <f>Table2[[#This Row],[Sales Revenue]]-Table2[[#This Row],[Total Cost After Product Percentage Calc]]</f>
        <v>1431</v>
      </c>
    </row>
    <row r="119" spans="1:18" ht="14.25" customHeight="1" x14ac:dyDescent="0.3">
      <c r="A119" s="1">
        <v>118</v>
      </c>
      <c r="B119" s="1" t="s">
        <v>168</v>
      </c>
      <c r="C119" s="1" t="s">
        <v>26</v>
      </c>
      <c r="D119" s="1" t="s">
        <v>41</v>
      </c>
      <c r="E119" s="2">
        <v>45510</v>
      </c>
      <c r="F119" s="4">
        <v>45521</v>
      </c>
      <c r="G119" s="1">
        <v>2</v>
      </c>
      <c r="H119" s="1">
        <v>512</v>
      </c>
      <c r="I119" s="1" t="s">
        <v>14</v>
      </c>
      <c r="J119" s="1" t="s">
        <v>36</v>
      </c>
      <c r="K119" s="1" t="s">
        <v>16</v>
      </c>
      <c r="L119" t="str">
        <f>TEXT(Table2[[#This Row],[Order Date]],"YYY")</f>
        <v>2024</v>
      </c>
      <c r="M119" t="str">
        <f>TEXT(Table2[[#This Row],[Order Date]],"MMM")</f>
        <v>Aug</v>
      </c>
      <c r="N119" t="str">
        <f>TEXT(Table2[[#This Row],[Order Date]],"DDD")</f>
        <v>Tue</v>
      </c>
      <c r="O119">
        <f>DATEDIF(Table2[[#This Row],[Order Date]],Table2[[#This Row],[Delivered Date]],"D")</f>
        <v>11</v>
      </c>
      <c r="P119" s="10">
        <f>ROUND(Table2[[#This Row],[Quantity]]*Table2[[#This Row],[Unit Price]]*VLOOKUP(Table2[[#This Row],[Product Name]],Table_1[#All],2,FALSE),0)</f>
        <v>512</v>
      </c>
      <c r="Q119" s="10">
        <f>Table2[[#This Row],[Quantity]]*Table2[[#This Row],[Unit Price]]</f>
        <v>1024</v>
      </c>
      <c r="R119" s="10">
        <f>Table2[[#This Row],[Sales Revenue]]-Table2[[#This Row],[Total Cost After Product Percentage Calc]]</f>
        <v>512</v>
      </c>
    </row>
    <row r="120" spans="1:18" ht="14.25" customHeight="1" x14ac:dyDescent="0.3">
      <c r="A120" s="1">
        <v>119</v>
      </c>
      <c r="B120" s="1" t="s">
        <v>169</v>
      </c>
      <c r="C120" s="1" t="s">
        <v>12</v>
      </c>
      <c r="D120" s="1" t="s">
        <v>100</v>
      </c>
      <c r="E120" s="2">
        <v>45603</v>
      </c>
      <c r="F120" s="4">
        <v>45608</v>
      </c>
      <c r="G120" s="1">
        <v>3</v>
      </c>
      <c r="H120" s="1">
        <v>77</v>
      </c>
      <c r="I120" s="1" t="s">
        <v>30</v>
      </c>
      <c r="J120" s="1" t="s">
        <v>15</v>
      </c>
      <c r="K120" s="1" t="s">
        <v>32</v>
      </c>
      <c r="L120" t="str">
        <f>TEXT(Table2[[#This Row],[Order Date]],"YYY")</f>
        <v>2024</v>
      </c>
      <c r="M120" t="str">
        <f>TEXT(Table2[[#This Row],[Order Date]],"MMM")</f>
        <v>Nov</v>
      </c>
      <c r="N120" t="str">
        <f>TEXT(Table2[[#This Row],[Order Date]],"DDD")</f>
        <v>Thu</v>
      </c>
      <c r="O120">
        <f>DATEDIF(Table2[[#This Row],[Order Date]],Table2[[#This Row],[Delivered Date]],"D")</f>
        <v>5</v>
      </c>
      <c r="P120" s="10">
        <f>ROUND(Table2[[#This Row],[Quantity]]*Table2[[#This Row],[Unit Price]]*VLOOKUP(Table2[[#This Row],[Product Name]],Table_1[#All],2,FALSE),0)</f>
        <v>162</v>
      </c>
      <c r="Q120" s="10">
        <f>Table2[[#This Row],[Quantity]]*Table2[[#This Row],[Unit Price]]</f>
        <v>231</v>
      </c>
      <c r="R120" s="10">
        <f>Table2[[#This Row],[Sales Revenue]]-Table2[[#This Row],[Total Cost After Product Percentage Calc]]</f>
        <v>69</v>
      </c>
    </row>
    <row r="121" spans="1:18" ht="14.25" customHeight="1" x14ac:dyDescent="0.3">
      <c r="A121" s="1">
        <v>120</v>
      </c>
      <c r="B121" s="1" t="s">
        <v>170</v>
      </c>
      <c r="C121" s="1" t="s">
        <v>26</v>
      </c>
      <c r="D121" s="1" t="s">
        <v>74</v>
      </c>
      <c r="E121" s="2">
        <v>45601</v>
      </c>
      <c r="F121" s="4">
        <v>45605</v>
      </c>
      <c r="G121" s="1">
        <v>7</v>
      </c>
      <c r="H121" s="1">
        <v>111</v>
      </c>
      <c r="I121" s="1" t="s">
        <v>30</v>
      </c>
      <c r="J121" s="1" t="s">
        <v>24</v>
      </c>
      <c r="K121" s="1" t="s">
        <v>49</v>
      </c>
      <c r="L121" t="str">
        <f>TEXT(Table2[[#This Row],[Order Date]],"YYY")</f>
        <v>2024</v>
      </c>
      <c r="M121" t="str">
        <f>TEXT(Table2[[#This Row],[Order Date]],"MMM")</f>
        <v>Nov</v>
      </c>
      <c r="N121" t="str">
        <f>TEXT(Table2[[#This Row],[Order Date]],"DDD")</f>
        <v>Tue</v>
      </c>
      <c r="O121">
        <f>DATEDIF(Table2[[#This Row],[Order Date]],Table2[[#This Row],[Delivered Date]],"D")</f>
        <v>4</v>
      </c>
      <c r="P121" s="10">
        <f>ROUND(Table2[[#This Row],[Quantity]]*Table2[[#This Row],[Unit Price]]*VLOOKUP(Table2[[#This Row],[Product Name]],Table_1[#All],2,FALSE),0)</f>
        <v>427</v>
      </c>
      <c r="Q121" s="10">
        <f>Table2[[#This Row],[Quantity]]*Table2[[#This Row],[Unit Price]]</f>
        <v>777</v>
      </c>
      <c r="R121" s="10">
        <f>Table2[[#This Row],[Sales Revenue]]-Table2[[#This Row],[Total Cost After Product Percentage Calc]]</f>
        <v>350</v>
      </c>
    </row>
    <row r="122" spans="1:18" ht="14.25" customHeight="1" x14ac:dyDescent="0.3">
      <c r="A122" s="1">
        <v>121</v>
      </c>
      <c r="B122" s="1" t="s">
        <v>171</v>
      </c>
      <c r="C122" s="1" t="s">
        <v>26</v>
      </c>
      <c r="D122" s="1" t="s">
        <v>41</v>
      </c>
      <c r="E122" s="2">
        <v>45504</v>
      </c>
      <c r="F122" s="4">
        <v>45509</v>
      </c>
      <c r="G122" s="1">
        <v>2</v>
      </c>
      <c r="H122" s="1">
        <v>330</v>
      </c>
      <c r="I122" s="1" t="s">
        <v>30</v>
      </c>
      <c r="J122" s="1" t="s">
        <v>31</v>
      </c>
      <c r="K122" s="1" t="s">
        <v>49</v>
      </c>
      <c r="L122" t="str">
        <f>TEXT(Table2[[#This Row],[Order Date]],"YYY")</f>
        <v>2024</v>
      </c>
      <c r="M122" t="str">
        <f>TEXT(Table2[[#This Row],[Order Date]],"MMM")</f>
        <v>Jul</v>
      </c>
      <c r="N122" t="str">
        <f>TEXT(Table2[[#This Row],[Order Date]],"DDD")</f>
        <v>Wed</v>
      </c>
      <c r="O122">
        <f>DATEDIF(Table2[[#This Row],[Order Date]],Table2[[#This Row],[Delivered Date]],"D")</f>
        <v>5</v>
      </c>
      <c r="P122" s="10">
        <f>ROUND(Table2[[#This Row],[Quantity]]*Table2[[#This Row],[Unit Price]]*VLOOKUP(Table2[[#This Row],[Product Name]],Table_1[#All],2,FALSE),0)</f>
        <v>330</v>
      </c>
      <c r="Q122" s="10">
        <f>Table2[[#This Row],[Quantity]]*Table2[[#This Row],[Unit Price]]</f>
        <v>660</v>
      </c>
      <c r="R122" s="10">
        <f>Table2[[#This Row],[Sales Revenue]]-Table2[[#This Row],[Total Cost After Product Percentage Calc]]</f>
        <v>330</v>
      </c>
    </row>
    <row r="123" spans="1:18" ht="14.25" customHeight="1" x14ac:dyDescent="0.3">
      <c r="A123" s="1">
        <v>122</v>
      </c>
      <c r="B123" s="1" t="s">
        <v>172</v>
      </c>
      <c r="C123" s="1" t="s">
        <v>34</v>
      </c>
      <c r="D123" s="1" t="s">
        <v>83</v>
      </c>
      <c r="E123" s="2">
        <v>45370</v>
      </c>
      <c r="F123" s="4">
        <v>45374</v>
      </c>
      <c r="G123" s="1">
        <v>8</v>
      </c>
      <c r="H123" s="1">
        <v>78</v>
      </c>
      <c r="I123" s="1" t="s">
        <v>14</v>
      </c>
      <c r="J123" s="1" t="s">
        <v>15</v>
      </c>
      <c r="K123" s="1" t="s">
        <v>20</v>
      </c>
      <c r="L123" t="str">
        <f>TEXT(Table2[[#This Row],[Order Date]],"YYY")</f>
        <v>2024</v>
      </c>
      <c r="M123" t="str">
        <f>TEXT(Table2[[#This Row],[Order Date]],"MMM")</f>
        <v>Mar</v>
      </c>
      <c r="N123" t="str">
        <f>TEXT(Table2[[#This Row],[Order Date]],"DDD")</f>
        <v>Tue</v>
      </c>
      <c r="O123">
        <f>DATEDIF(Table2[[#This Row],[Order Date]],Table2[[#This Row],[Delivered Date]],"D")</f>
        <v>4</v>
      </c>
      <c r="P123" s="10">
        <f>ROUND(Table2[[#This Row],[Quantity]]*Table2[[#This Row],[Unit Price]]*VLOOKUP(Table2[[#This Row],[Product Name]],Table_1[#All],2,FALSE),0)</f>
        <v>406</v>
      </c>
      <c r="Q123" s="10">
        <f>Table2[[#This Row],[Quantity]]*Table2[[#This Row],[Unit Price]]</f>
        <v>624</v>
      </c>
      <c r="R123" s="10">
        <f>Table2[[#This Row],[Sales Revenue]]-Table2[[#This Row],[Total Cost After Product Percentage Calc]]</f>
        <v>218</v>
      </c>
    </row>
    <row r="124" spans="1:18" ht="14.25" customHeight="1" x14ac:dyDescent="0.3">
      <c r="A124" s="1">
        <v>123</v>
      </c>
      <c r="B124" s="1" t="s">
        <v>173</v>
      </c>
      <c r="C124" s="1" t="s">
        <v>26</v>
      </c>
      <c r="D124" s="1" t="s">
        <v>119</v>
      </c>
      <c r="E124" s="2">
        <v>45482</v>
      </c>
      <c r="F124" s="4">
        <v>45486</v>
      </c>
      <c r="G124" s="1">
        <v>3</v>
      </c>
      <c r="H124" s="1">
        <v>579</v>
      </c>
      <c r="I124" s="1" t="s">
        <v>30</v>
      </c>
      <c r="J124" s="1" t="s">
        <v>15</v>
      </c>
      <c r="K124" s="1" t="s">
        <v>20</v>
      </c>
      <c r="L124" t="str">
        <f>TEXT(Table2[[#This Row],[Order Date]],"YYY")</f>
        <v>2024</v>
      </c>
      <c r="M124" t="str">
        <f>TEXT(Table2[[#This Row],[Order Date]],"MMM")</f>
        <v>Jul</v>
      </c>
      <c r="N124" t="str">
        <f>TEXT(Table2[[#This Row],[Order Date]],"DDD")</f>
        <v>Tue</v>
      </c>
      <c r="O124">
        <f>DATEDIF(Table2[[#This Row],[Order Date]],Table2[[#This Row],[Delivered Date]],"D")</f>
        <v>4</v>
      </c>
      <c r="P124" s="10">
        <f>ROUND(Table2[[#This Row],[Quantity]]*Table2[[#This Row],[Unit Price]]*VLOOKUP(Table2[[#This Row],[Product Name]],Table_1[#All],2,FALSE),0)</f>
        <v>1042</v>
      </c>
      <c r="Q124" s="10">
        <f>Table2[[#This Row],[Quantity]]*Table2[[#This Row],[Unit Price]]</f>
        <v>1737</v>
      </c>
      <c r="R124" s="10">
        <f>Table2[[#This Row],[Sales Revenue]]-Table2[[#This Row],[Total Cost After Product Percentage Calc]]</f>
        <v>695</v>
      </c>
    </row>
    <row r="125" spans="1:18" ht="14.25" customHeight="1" x14ac:dyDescent="0.3">
      <c r="A125" s="1">
        <v>124</v>
      </c>
      <c r="B125" s="1" t="s">
        <v>174</v>
      </c>
      <c r="C125" s="1" t="s">
        <v>18</v>
      </c>
      <c r="D125" s="1" t="s">
        <v>60</v>
      </c>
      <c r="E125" s="2">
        <v>45635</v>
      </c>
      <c r="F125" s="4">
        <v>45649</v>
      </c>
      <c r="G125" s="1">
        <v>2</v>
      </c>
      <c r="H125" s="1">
        <v>430</v>
      </c>
      <c r="I125" s="1" t="s">
        <v>30</v>
      </c>
      <c r="J125" s="1" t="s">
        <v>52</v>
      </c>
      <c r="K125" s="1" t="s">
        <v>49</v>
      </c>
      <c r="L125" t="str">
        <f>TEXT(Table2[[#This Row],[Order Date]],"YYY")</f>
        <v>2024</v>
      </c>
      <c r="M125" t="str">
        <f>TEXT(Table2[[#This Row],[Order Date]],"MMM")</f>
        <v>Dec</v>
      </c>
      <c r="N125" t="str">
        <f>TEXT(Table2[[#This Row],[Order Date]],"DDD")</f>
        <v>Mon</v>
      </c>
      <c r="O125">
        <f>DATEDIF(Table2[[#This Row],[Order Date]],Table2[[#This Row],[Delivered Date]],"D")</f>
        <v>14</v>
      </c>
      <c r="P125" s="10">
        <f>ROUND(Table2[[#This Row],[Quantity]]*Table2[[#This Row],[Unit Price]]*VLOOKUP(Table2[[#This Row],[Product Name]],Table_1[#All],2,FALSE),0)</f>
        <v>473</v>
      </c>
      <c r="Q125" s="10">
        <f>Table2[[#This Row],[Quantity]]*Table2[[#This Row],[Unit Price]]</f>
        <v>860</v>
      </c>
      <c r="R125" s="10">
        <f>Table2[[#This Row],[Sales Revenue]]-Table2[[#This Row],[Total Cost After Product Percentage Calc]]</f>
        <v>387</v>
      </c>
    </row>
    <row r="126" spans="1:18" ht="14.25" customHeight="1" x14ac:dyDescent="0.3">
      <c r="A126" s="1">
        <v>125</v>
      </c>
      <c r="B126" s="1" t="s">
        <v>175</v>
      </c>
      <c r="C126" s="1" t="s">
        <v>12</v>
      </c>
      <c r="D126" s="1" t="s">
        <v>100</v>
      </c>
      <c r="E126" s="2">
        <v>45599</v>
      </c>
      <c r="F126" s="4">
        <v>45620</v>
      </c>
      <c r="G126" s="1">
        <v>5</v>
      </c>
      <c r="H126" s="1">
        <v>370</v>
      </c>
      <c r="I126" s="1" t="s">
        <v>30</v>
      </c>
      <c r="J126" s="1" t="s">
        <v>15</v>
      </c>
      <c r="K126" s="1" t="s">
        <v>16</v>
      </c>
      <c r="L126" t="str">
        <f>TEXT(Table2[[#This Row],[Order Date]],"YYY")</f>
        <v>2024</v>
      </c>
      <c r="M126" t="str">
        <f>TEXT(Table2[[#This Row],[Order Date]],"MMM")</f>
        <v>Nov</v>
      </c>
      <c r="N126" t="str">
        <f>TEXT(Table2[[#This Row],[Order Date]],"DDD")</f>
        <v>Sun</v>
      </c>
      <c r="O126">
        <f>DATEDIF(Table2[[#This Row],[Order Date]],Table2[[#This Row],[Delivered Date]],"D")</f>
        <v>21</v>
      </c>
      <c r="P126" s="10">
        <f>ROUND(Table2[[#This Row],[Quantity]]*Table2[[#This Row],[Unit Price]]*VLOOKUP(Table2[[#This Row],[Product Name]],Table_1[#All],2,FALSE),0)</f>
        <v>1295</v>
      </c>
      <c r="Q126" s="10">
        <f>Table2[[#This Row],[Quantity]]*Table2[[#This Row],[Unit Price]]</f>
        <v>1850</v>
      </c>
      <c r="R126" s="10">
        <f>Table2[[#This Row],[Sales Revenue]]-Table2[[#This Row],[Total Cost After Product Percentage Calc]]</f>
        <v>555</v>
      </c>
    </row>
    <row r="127" spans="1:18" ht="14.25" customHeight="1" x14ac:dyDescent="0.3">
      <c r="A127" s="1">
        <v>126</v>
      </c>
      <c r="B127" s="1" t="s">
        <v>176</v>
      </c>
      <c r="C127" s="1" t="s">
        <v>18</v>
      </c>
      <c r="D127" s="1" t="s">
        <v>60</v>
      </c>
      <c r="E127" s="2">
        <v>45350</v>
      </c>
      <c r="F127" s="4">
        <v>45354</v>
      </c>
      <c r="G127" s="1">
        <v>5</v>
      </c>
      <c r="H127" s="1">
        <v>597</v>
      </c>
      <c r="I127" s="1" t="s">
        <v>30</v>
      </c>
      <c r="J127" s="1" t="s">
        <v>15</v>
      </c>
      <c r="K127" s="1" t="s">
        <v>49</v>
      </c>
      <c r="L127" t="str">
        <f>TEXT(Table2[[#This Row],[Order Date]],"YYY")</f>
        <v>2024</v>
      </c>
      <c r="M127" t="str">
        <f>TEXT(Table2[[#This Row],[Order Date]],"MMM")</f>
        <v>Feb</v>
      </c>
      <c r="N127" t="str">
        <f>TEXT(Table2[[#This Row],[Order Date]],"DDD")</f>
        <v>Wed</v>
      </c>
      <c r="O127">
        <f>DATEDIF(Table2[[#This Row],[Order Date]],Table2[[#This Row],[Delivered Date]],"D")</f>
        <v>4</v>
      </c>
      <c r="P127" s="10">
        <f>ROUND(Table2[[#This Row],[Quantity]]*Table2[[#This Row],[Unit Price]]*VLOOKUP(Table2[[#This Row],[Product Name]],Table_1[#All],2,FALSE),0)</f>
        <v>1642</v>
      </c>
      <c r="Q127" s="10">
        <f>Table2[[#This Row],[Quantity]]*Table2[[#This Row],[Unit Price]]</f>
        <v>2985</v>
      </c>
      <c r="R127" s="10">
        <f>Table2[[#This Row],[Sales Revenue]]-Table2[[#This Row],[Total Cost After Product Percentage Calc]]</f>
        <v>1343</v>
      </c>
    </row>
    <row r="128" spans="1:18" ht="14.25" customHeight="1" x14ac:dyDescent="0.3">
      <c r="A128" s="1">
        <v>127</v>
      </c>
      <c r="B128" s="1" t="s">
        <v>177</v>
      </c>
      <c r="C128" s="1" t="s">
        <v>18</v>
      </c>
      <c r="D128" s="1" t="s">
        <v>64</v>
      </c>
      <c r="E128" s="2">
        <v>45637</v>
      </c>
      <c r="F128" s="4">
        <v>45645</v>
      </c>
      <c r="G128" s="1">
        <v>9</v>
      </c>
      <c r="H128" s="1">
        <v>36</v>
      </c>
      <c r="I128" s="1" t="s">
        <v>14</v>
      </c>
      <c r="J128" s="1" t="s">
        <v>36</v>
      </c>
      <c r="K128" s="1" t="s">
        <v>49</v>
      </c>
      <c r="L128" t="str">
        <f>TEXT(Table2[[#This Row],[Order Date]],"YYY")</f>
        <v>2024</v>
      </c>
      <c r="M128" t="str">
        <f>TEXT(Table2[[#This Row],[Order Date]],"MMM")</f>
        <v>Dec</v>
      </c>
      <c r="N128" t="str">
        <f>TEXT(Table2[[#This Row],[Order Date]],"DDD")</f>
        <v>Wed</v>
      </c>
      <c r="O128">
        <f>DATEDIF(Table2[[#This Row],[Order Date]],Table2[[#This Row],[Delivered Date]],"D")</f>
        <v>8</v>
      </c>
      <c r="P128" s="10">
        <f>ROUND(Table2[[#This Row],[Quantity]]*Table2[[#This Row],[Unit Price]]*VLOOKUP(Table2[[#This Row],[Product Name]],Table_1[#All],2,FALSE),0)</f>
        <v>211</v>
      </c>
      <c r="Q128" s="10">
        <f>Table2[[#This Row],[Quantity]]*Table2[[#This Row],[Unit Price]]</f>
        <v>324</v>
      </c>
      <c r="R128" s="10">
        <f>Table2[[#This Row],[Sales Revenue]]-Table2[[#This Row],[Total Cost After Product Percentage Calc]]</f>
        <v>113</v>
      </c>
    </row>
    <row r="129" spans="1:18" ht="14.25" customHeight="1" x14ac:dyDescent="0.3">
      <c r="A129" s="1">
        <v>128</v>
      </c>
      <c r="B129" s="1" t="s">
        <v>178</v>
      </c>
      <c r="C129" s="1" t="s">
        <v>22</v>
      </c>
      <c r="D129" s="1" t="s">
        <v>87</v>
      </c>
      <c r="E129" s="2">
        <v>45651</v>
      </c>
      <c r="F129" s="4">
        <v>45660</v>
      </c>
      <c r="G129" s="1">
        <v>5</v>
      </c>
      <c r="H129" s="1">
        <v>953</v>
      </c>
      <c r="I129" s="1" t="s">
        <v>14</v>
      </c>
      <c r="J129" s="1" t="s">
        <v>52</v>
      </c>
      <c r="K129" s="1" t="s">
        <v>16</v>
      </c>
      <c r="L129" t="str">
        <f>TEXT(Table2[[#This Row],[Order Date]],"YYY")</f>
        <v>2024</v>
      </c>
      <c r="M129" t="str">
        <f>TEXT(Table2[[#This Row],[Order Date]],"MMM")</f>
        <v>Dec</v>
      </c>
      <c r="N129" t="str">
        <f>TEXT(Table2[[#This Row],[Order Date]],"DDD")</f>
        <v>Wed</v>
      </c>
      <c r="O129">
        <f>DATEDIF(Table2[[#This Row],[Order Date]],Table2[[#This Row],[Delivered Date]],"D")</f>
        <v>9</v>
      </c>
      <c r="P129" s="10">
        <f>ROUND(Table2[[#This Row],[Quantity]]*Table2[[#This Row],[Unit Price]]*VLOOKUP(Table2[[#This Row],[Product Name]],Table_1[#All],2,FALSE),0)</f>
        <v>3812</v>
      </c>
      <c r="Q129" s="10">
        <f>Table2[[#This Row],[Quantity]]*Table2[[#This Row],[Unit Price]]</f>
        <v>4765</v>
      </c>
      <c r="R129" s="10">
        <f>Table2[[#This Row],[Sales Revenue]]-Table2[[#This Row],[Total Cost After Product Percentage Calc]]</f>
        <v>953</v>
      </c>
    </row>
    <row r="130" spans="1:18" ht="14.25" customHeight="1" x14ac:dyDescent="0.3">
      <c r="A130" s="1">
        <v>129</v>
      </c>
      <c r="B130" s="1" t="s">
        <v>179</v>
      </c>
      <c r="C130" s="1" t="s">
        <v>22</v>
      </c>
      <c r="D130" s="1" t="s">
        <v>58</v>
      </c>
      <c r="E130" s="2">
        <v>45581</v>
      </c>
      <c r="F130" s="4">
        <v>45584</v>
      </c>
      <c r="G130" s="1">
        <v>7</v>
      </c>
      <c r="H130" s="1">
        <v>81</v>
      </c>
      <c r="I130" s="1" t="s">
        <v>14</v>
      </c>
      <c r="J130" s="1" t="s">
        <v>15</v>
      </c>
      <c r="K130" s="1" t="s">
        <v>20</v>
      </c>
      <c r="L130" t="str">
        <f>TEXT(Table2[[#This Row],[Order Date]],"YYY")</f>
        <v>2024</v>
      </c>
      <c r="M130" t="str">
        <f>TEXT(Table2[[#This Row],[Order Date]],"MMM")</f>
        <v>Oct</v>
      </c>
      <c r="N130" t="str">
        <f>TEXT(Table2[[#This Row],[Order Date]],"DDD")</f>
        <v>Wed</v>
      </c>
      <c r="O130">
        <f>DATEDIF(Table2[[#This Row],[Order Date]],Table2[[#This Row],[Delivered Date]],"D")</f>
        <v>3</v>
      </c>
      <c r="P130" s="10">
        <f>ROUND(Table2[[#This Row],[Quantity]]*Table2[[#This Row],[Unit Price]]*VLOOKUP(Table2[[#This Row],[Product Name]],Table_1[#All],2,FALSE),0)</f>
        <v>397</v>
      </c>
      <c r="Q130" s="10">
        <f>Table2[[#This Row],[Quantity]]*Table2[[#This Row],[Unit Price]]</f>
        <v>567</v>
      </c>
      <c r="R130" s="10">
        <f>Table2[[#This Row],[Sales Revenue]]-Table2[[#This Row],[Total Cost After Product Percentage Calc]]</f>
        <v>170</v>
      </c>
    </row>
    <row r="131" spans="1:18" ht="14.25" customHeight="1" x14ac:dyDescent="0.3">
      <c r="A131" s="1">
        <v>130</v>
      </c>
      <c r="B131" s="1" t="s">
        <v>180</v>
      </c>
      <c r="C131" s="1" t="s">
        <v>34</v>
      </c>
      <c r="D131" s="1" t="s">
        <v>83</v>
      </c>
      <c r="E131" s="2">
        <v>45582</v>
      </c>
      <c r="F131" s="4">
        <v>45594</v>
      </c>
      <c r="G131" s="1">
        <v>10</v>
      </c>
      <c r="H131" s="1">
        <v>96</v>
      </c>
      <c r="I131" s="1" t="s">
        <v>14</v>
      </c>
      <c r="J131" s="1" t="s">
        <v>15</v>
      </c>
      <c r="K131" s="1" t="s">
        <v>32</v>
      </c>
      <c r="L131" t="str">
        <f>TEXT(Table2[[#This Row],[Order Date]],"YYY")</f>
        <v>2024</v>
      </c>
      <c r="M131" t="str">
        <f>TEXT(Table2[[#This Row],[Order Date]],"MMM")</f>
        <v>Oct</v>
      </c>
      <c r="N131" t="str">
        <f>TEXT(Table2[[#This Row],[Order Date]],"DDD")</f>
        <v>Thu</v>
      </c>
      <c r="O131">
        <f>DATEDIF(Table2[[#This Row],[Order Date]],Table2[[#This Row],[Delivered Date]],"D")</f>
        <v>12</v>
      </c>
      <c r="P131" s="10">
        <f>ROUND(Table2[[#This Row],[Quantity]]*Table2[[#This Row],[Unit Price]]*VLOOKUP(Table2[[#This Row],[Product Name]],Table_1[#All],2,FALSE),0)</f>
        <v>624</v>
      </c>
      <c r="Q131" s="10">
        <f>Table2[[#This Row],[Quantity]]*Table2[[#This Row],[Unit Price]]</f>
        <v>960</v>
      </c>
      <c r="R131" s="10">
        <f>Table2[[#This Row],[Sales Revenue]]-Table2[[#This Row],[Total Cost After Product Percentage Calc]]</f>
        <v>336</v>
      </c>
    </row>
    <row r="132" spans="1:18" ht="14.25" customHeight="1" x14ac:dyDescent="0.3">
      <c r="A132" s="1">
        <v>131</v>
      </c>
      <c r="B132" s="1" t="s">
        <v>181</v>
      </c>
      <c r="C132" s="1" t="s">
        <v>18</v>
      </c>
      <c r="D132" s="1" t="s">
        <v>47</v>
      </c>
      <c r="E132" s="2">
        <v>45504</v>
      </c>
      <c r="F132" s="4">
        <v>45507</v>
      </c>
      <c r="G132" s="1">
        <v>5</v>
      </c>
      <c r="H132" s="1">
        <v>230</v>
      </c>
      <c r="I132" s="1" t="s">
        <v>14</v>
      </c>
      <c r="J132" s="1" t="s">
        <v>24</v>
      </c>
      <c r="K132" s="1" t="s">
        <v>20</v>
      </c>
      <c r="L132" t="str">
        <f>TEXT(Table2[[#This Row],[Order Date]],"YYY")</f>
        <v>2024</v>
      </c>
      <c r="M132" t="str">
        <f>TEXT(Table2[[#This Row],[Order Date]],"MMM")</f>
        <v>Jul</v>
      </c>
      <c r="N132" t="str">
        <f>TEXT(Table2[[#This Row],[Order Date]],"DDD")</f>
        <v>Wed</v>
      </c>
      <c r="O132">
        <f>DATEDIF(Table2[[#This Row],[Order Date]],Table2[[#This Row],[Delivered Date]],"D")</f>
        <v>3</v>
      </c>
      <c r="P132" s="10">
        <f>ROUND(Table2[[#This Row],[Quantity]]*Table2[[#This Row],[Unit Price]]*VLOOKUP(Table2[[#This Row],[Product Name]],Table_1[#All],2,FALSE),0)</f>
        <v>690</v>
      </c>
      <c r="Q132" s="10">
        <f>Table2[[#This Row],[Quantity]]*Table2[[#This Row],[Unit Price]]</f>
        <v>1150</v>
      </c>
      <c r="R132" s="10">
        <f>Table2[[#This Row],[Sales Revenue]]-Table2[[#This Row],[Total Cost After Product Percentage Calc]]</f>
        <v>460</v>
      </c>
    </row>
    <row r="133" spans="1:18" ht="14.25" customHeight="1" x14ac:dyDescent="0.3">
      <c r="A133" s="1">
        <v>132</v>
      </c>
      <c r="B133" s="1" t="s">
        <v>182</v>
      </c>
      <c r="C133" s="1" t="s">
        <v>18</v>
      </c>
      <c r="D133" s="1" t="s">
        <v>60</v>
      </c>
      <c r="E133" s="2">
        <v>45315</v>
      </c>
      <c r="F133" s="4">
        <v>45329</v>
      </c>
      <c r="G133" s="1">
        <v>4</v>
      </c>
      <c r="H133" s="1">
        <v>414</v>
      </c>
      <c r="I133" s="1" t="s">
        <v>14</v>
      </c>
      <c r="J133" s="1" t="s">
        <v>36</v>
      </c>
      <c r="K133" s="1" t="s">
        <v>16</v>
      </c>
      <c r="L133" t="str">
        <f>TEXT(Table2[[#This Row],[Order Date]],"YYY")</f>
        <v>2024</v>
      </c>
      <c r="M133" t="str">
        <f>TEXT(Table2[[#This Row],[Order Date]],"MMM")</f>
        <v>Jan</v>
      </c>
      <c r="N133" t="str">
        <f>TEXT(Table2[[#This Row],[Order Date]],"DDD")</f>
        <v>Wed</v>
      </c>
      <c r="O133">
        <f>DATEDIF(Table2[[#This Row],[Order Date]],Table2[[#This Row],[Delivered Date]],"D")</f>
        <v>14</v>
      </c>
      <c r="P133" s="10">
        <f>ROUND(Table2[[#This Row],[Quantity]]*Table2[[#This Row],[Unit Price]]*VLOOKUP(Table2[[#This Row],[Product Name]],Table_1[#All],2,FALSE),0)</f>
        <v>911</v>
      </c>
      <c r="Q133" s="10">
        <f>Table2[[#This Row],[Quantity]]*Table2[[#This Row],[Unit Price]]</f>
        <v>1656</v>
      </c>
      <c r="R133" s="10">
        <f>Table2[[#This Row],[Sales Revenue]]-Table2[[#This Row],[Total Cost After Product Percentage Calc]]</f>
        <v>745</v>
      </c>
    </row>
    <row r="134" spans="1:18" ht="14.25" customHeight="1" x14ac:dyDescent="0.3">
      <c r="A134" s="1">
        <v>133</v>
      </c>
      <c r="B134" s="1" t="s">
        <v>183</v>
      </c>
      <c r="C134" s="1" t="s">
        <v>12</v>
      </c>
      <c r="D134" s="1" t="s">
        <v>13</v>
      </c>
      <c r="E134" s="2">
        <v>45546</v>
      </c>
      <c r="F134" s="4">
        <v>45559</v>
      </c>
      <c r="G134" s="1">
        <v>7</v>
      </c>
      <c r="H134" s="1">
        <v>189</v>
      </c>
      <c r="I134" s="1" t="s">
        <v>30</v>
      </c>
      <c r="J134" s="1" t="s">
        <v>15</v>
      </c>
      <c r="K134" s="1" t="s">
        <v>20</v>
      </c>
      <c r="L134" t="str">
        <f>TEXT(Table2[[#This Row],[Order Date]],"YYY")</f>
        <v>2024</v>
      </c>
      <c r="M134" t="str">
        <f>TEXT(Table2[[#This Row],[Order Date]],"MMM")</f>
        <v>Sep</v>
      </c>
      <c r="N134" t="str">
        <f>TEXT(Table2[[#This Row],[Order Date]],"DDD")</f>
        <v>Wed</v>
      </c>
      <c r="O134">
        <f>DATEDIF(Table2[[#This Row],[Order Date]],Table2[[#This Row],[Delivered Date]],"D")</f>
        <v>13</v>
      </c>
      <c r="P134" s="10">
        <f>ROUND(Table2[[#This Row],[Quantity]]*Table2[[#This Row],[Unit Price]]*VLOOKUP(Table2[[#This Row],[Product Name]],Table_1[#All],2,FALSE),0)</f>
        <v>992</v>
      </c>
      <c r="Q134" s="10">
        <f>Table2[[#This Row],[Quantity]]*Table2[[#This Row],[Unit Price]]</f>
        <v>1323</v>
      </c>
      <c r="R134" s="10">
        <f>Table2[[#This Row],[Sales Revenue]]-Table2[[#This Row],[Total Cost After Product Percentage Calc]]</f>
        <v>331</v>
      </c>
    </row>
    <row r="135" spans="1:18" ht="14.25" customHeight="1" x14ac:dyDescent="0.3">
      <c r="A135" s="1">
        <v>134</v>
      </c>
      <c r="B135" s="1" t="s">
        <v>184</v>
      </c>
      <c r="C135" s="1" t="s">
        <v>26</v>
      </c>
      <c r="D135" s="1" t="s">
        <v>27</v>
      </c>
      <c r="E135" s="2">
        <v>45350</v>
      </c>
      <c r="F135" s="4">
        <v>45356</v>
      </c>
      <c r="G135" s="1">
        <v>7</v>
      </c>
      <c r="H135" s="1">
        <v>31</v>
      </c>
      <c r="I135" s="1" t="s">
        <v>30</v>
      </c>
      <c r="J135" s="1" t="s">
        <v>52</v>
      </c>
      <c r="K135" s="1" t="s">
        <v>20</v>
      </c>
      <c r="L135" t="str">
        <f>TEXT(Table2[[#This Row],[Order Date]],"YYY")</f>
        <v>2024</v>
      </c>
      <c r="M135" t="str">
        <f>TEXT(Table2[[#This Row],[Order Date]],"MMM")</f>
        <v>Feb</v>
      </c>
      <c r="N135" t="str">
        <f>TEXT(Table2[[#This Row],[Order Date]],"DDD")</f>
        <v>Wed</v>
      </c>
      <c r="O135">
        <f>DATEDIF(Table2[[#This Row],[Order Date]],Table2[[#This Row],[Delivered Date]],"D")</f>
        <v>6</v>
      </c>
      <c r="P135" s="10">
        <f>ROUND(Table2[[#This Row],[Quantity]]*Table2[[#This Row],[Unit Price]]*VLOOKUP(Table2[[#This Row],[Product Name]],Table_1[#All],2,FALSE),0)</f>
        <v>119</v>
      </c>
      <c r="Q135" s="10">
        <f>Table2[[#This Row],[Quantity]]*Table2[[#This Row],[Unit Price]]</f>
        <v>217</v>
      </c>
      <c r="R135" s="10">
        <f>Table2[[#This Row],[Sales Revenue]]-Table2[[#This Row],[Total Cost After Product Percentage Calc]]</f>
        <v>98</v>
      </c>
    </row>
    <row r="136" spans="1:18" ht="14.25" customHeight="1" x14ac:dyDescent="0.3">
      <c r="A136" s="1">
        <v>135</v>
      </c>
      <c r="B136" s="1" t="s">
        <v>185</v>
      </c>
      <c r="C136" s="1" t="s">
        <v>18</v>
      </c>
      <c r="D136" s="1" t="s">
        <v>47</v>
      </c>
      <c r="E136" s="2">
        <v>45560</v>
      </c>
      <c r="F136" s="4">
        <v>45572</v>
      </c>
      <c r="G136" s="1">
        <v>2</v>
      </c>
      <c r="H136" s="1">
        <v>415</v>
      </c>
      <c r="I136" s="1" t="s">
        <v>30</v>
      </c>
      <c r="J136" s="1" t="s">
        <v>24</v>
      </c>
      <c r="K136" s="1" t="s">
        <v>32</v>
      </c>
      <c r="L136" t="str">
        <f>TEXT(Table2[[#This Row],[Order Date]],"YYY")</f>
        <v>2024</v>
      </c>
      <c r="M136" t="str">
        <f>TEXT(Table2[[#This Row],[Order Date]],"MMM")</f>
        <v>Sep</v>
      </c>
      <c r="N136" t="str">
        <f>TEXT(Table2[[#This Row],[Order Date]],"DDD")</f>
        <v>Wed</v>
      </c>
      <c r="O136">
        <f>DATEDIF(Table2[[#This Row],[Order Date]],Table2[[#This Row],[Delivered Date]],"D")</f>
        <v>12</v>
      </c>
      <c r="P136" s="10">
        <f>ROUND(Table2[[#This Row],[Quantity]]*Table2[[#This Row],[Unit Price]]*VLOOKUP(Table2[[#This Row],[Product Name]],Table_1[#All],2,FALSE),0)</f>
        <v>498</v>
      </c>
      <c r="Q136" s="10">
        <f>Table2[[#This Row],[Quantity]]*Table2[[#This Row],[Unit Price]]</f>
        <v>830</v>
      </c>
      <c r="R136" s="10">
        <f>Table2[[#This Row],[Sales Revenue]]-Table2[[#This Row],[Total Cost After Product Percentage Calc]]</f>
        <v>332</v>
      </c>
    </row>
    <row r="137" spans="1:18" ht="14.25" customHeight="1" x14ac:dyDescent="0.3">
      <c r="A137" s="1">
        <v>136</v>
      </c>
      <c r="B137" s="1" t="s">
        <v>186</v>
      </c>
      <c r="C137" s="1" t="s">
        <v>34</v>
      </c>
      <c r="D137" s="1" t="s">
        <v>45</v>
      </c>
      <c r="E137" s="2">
        <v>45462</v>
      </c>
      <c r="F137" s="4">
        <v>45469</v>
      </c>
      <c r="G137" s="1">
        <v>3</v>
      </c>
      <c r="H137" s="1">
        <v>88</v>
      </c>
      <c r="I137" s="1" t="s">
        <v>30</v>
      </c>
      <c r="J137" s="1" t="s">
        <v>36</v>
      </c>
      <c r="K137" s="1" t="s">
        <v>16</v>
      </c>
      <c r="L137" t="str">
        <f>TEXT(Table2[[#This Row],[Order Date]],"YYY")</f>
        <v>2024</v>
      </c>
      <c r="M137" t="str">
        <f>TEXT(Table2[[#This Row],[Order Date]],"MMM")</f>
        <v>Jun</v>
      </c>
      <c r="N137" t="str">
        <f>TEXT(Table2[[#This Row],[Order Date]],"DDD")</f>
        <v>Wed</v>
      </c>
      <c r="O137">
        <f>DATEDIF(Table2[[#This Row],[Order Date]],Table2[[#This Row],[Delivered Date]],"D")</f>
        <v>7</v>
      </c>
      <c r="P137" s="10">
        <f>ROUND(Table2[[#This Row],[Quantity]]*Table2[[#This Row],[Unit Price]]*VLOOKUP(Table2[[#This Row],[Product Name]],Table_1[#All],2,FALSE),0)</f>
        <v>172</v>
      </c>
      <c r="Q137" s="10">
        <f>Table2[[#This Row],[Quantity]]*Table2[[#This Row],[Unit Price]]</f>
        <v>264</v>
      </c>
      <c r="R137" s="10">
        <f>Table2[[#This Row],[Sales Revenue]]-Table2[[#This Row],[Total Cost After Product Percentage Calc]]</f>
        <v>92</v>
      </c>
    </row>
    <row r="138" spans="1:18" ht="14.25" customHeight="1" x14ac:dyDescent="0.3">
      <c r="A138" s="1">
        <v>137</v>
      </c>
      <c r="B138" s="1" t="s">
        <v>187</v>
      </c>
      <c r="C138" s="1" t="s">
        <v>18</v>
      </c>
      <c r="D138" s="1" t="s">
        <v>68</v>
      </c>
      <c r="E138" s="2">
        <v>45470</v>
      </c>
      <c r="F138" s="4">
        <v>45478</v>
      </c>
      <c r="G138" s="1">
        <v>6</v>
      </c>
      <c r="H138" s="1">
        <v>754</v>
      </c>
      <c r="I138" s="1" t="s">
        <v>14</v>
      </c>
      <c r="J138" s="1" t="s">
        <v>24</v>
      </c>
      <c r="K138" s="1" t="s">
        <v>16</v>
      </c>
      <c r="L138" t="str">
        <f>TEXT(Table2[[#This Row],[Order Date]],"YYY")</f>
        <v>2024</v>
      </c>
      <c r="M138" t="str">
        <f>TEXT(Table2[[#This Row],[Order Date]],"MMM")</f>
        <v>Jun</v>
      </c>
      <c r="N138" t="str">
        <f>TEXT(Table2[[#This Row],[Order Date]],"DDD")</f>
        <v>Thu</v>
      </c>
      <c r="O138">
        <f>DATEDIF(Table2[[#This Row],[Order Date]],Table2[[#This Row],[Delivered Date]],"D")</f>
        <v>8</v>
      </c>
      <c r="P138" s="10">
        <f>ROUND(Table2[[#This Row],[Quantity]]*Table2[[#This Row],[Unit Price]]*VLOOKUP(Table2[[#This Row],[Product Name]],Table_1[#All],2,FALSE),0)</f>
        <v>2262</v>
      </c>
      <c r="Q138" s="10">
        <f>Table2[[#This Row],[Quantity]]*Table2[[#This Row],[Unit Price]]</f>
        <v>4524</v>
      </c>
      <c r="R138" s="10">
        <f>Table2[[#This Row],[Sales Revenue]]-Table2[[#This Row],[Total Cost After Product Percentage Calc]]</f>
        <v>2262</v>
      </c>
    </row>
    <row r="139" spans="1:18" ht="14.25" customHeight="1" x14ac:dyDescent="0.3">
      <c r="A139" s="1">
        <v>138</v>
      </c>
      <c r="B139" s="1" t="s">
        <v>188</v>
      </c>
      <c r="C139" s="1" t="s">
        <v>12</v>
      </c>
      <c r="D139" s="1" t="s">
        <v>62</v>
      </c>
      <c r="E139" s="2">
        <v>45423</v>
      </c>
      <c r="F139" s="4">
        <v>45435</v>
      </c>
      <c r="G139" s="1">
        <v>4</v>
      </c>
      <c r="H139" s="1">
        <v>187</v>
      </c>
      <c r="I139" s="1" t="s">
        <v>30</v>
      </c>
      <c r="J139" s="1" t="s">
        <v>36</v>
      </c>
      <c r="K139" s="1" t="s">
        <v>16</v>
      </c>
      <c r="L139" t="str">
        <f>TEXT(Table2[[#This Row],[Order Date]],"YYY")</f>
        <v>2024</v>
      </c>
      <c r="M139" t="str">
        <f>TEXT(Table2[[#This Row],[Order Date]],"MMM")</f>
        <v>May</v>
      </c>
      <c r="N139" t="str">
        <f>TEXT(Table2[[#This Row],[Order Date]],"DDD")</f>
        <v>Sat</v>
      </c>
      <c r="O139">
        <f>DATEDIF(Table2[[#This Row],[Order Date]],Table2[[#This Row],[Delivered Date]],"D")</f>
        <v>12</v>
      </c>
      <c r="P139" s="10">
        <f>ROUND(Table2[[#This Row],[Quantity]]*Table2[[#This Row],[Unit Price]]*VLOOKUP(Table2[[#This Row],[Product Name]],Table_1[#All],2,FALSE),0)</f>
        <v>636</v>
      </c>
      <c r="Q139" s="10">
        <f>Table2[[#This Row],[Quantity]]*Table2[[#This Row],[Unit Price]]</f>
        <v>748</v>
      </c>
      <c r="R139" s="10">
        <f>Table2[[#This Row],[Sales Revenue]]-Table2[[#This Row],[Total Cost After Product Percentage Calc]]</f>
        <v>112</v>
      </c>
    </row>
    <row r="140" spans="1:18" ht="14.25" customHeight="1" x14ac:dyDescent="0.3">
      <c r="A140" s="1">
        <v>139</v>
      </c>
      <c r="B140" s="1" t="s">
        <v>189</v>
      </c>
      <c r="C140" s="1" t="s">
        <v>12</v>
      </c>
      <c r="D140" s="1" t="s">
        <v>62</v>
      </c>
      <c r="E140" s="2">
        <v>45613</v>
      </c>
      <c r="F140" s="4">
        <v>45623</v>
      </c>
      <c r="G140" s="1">
        <v>8</v>
      </c>
      <c r="H140" s="1">
        <v>485</v>
      </c>
      <c r="I140" s="1" t="s">
        <v>30</v>
      </c>
      <c r="J140" s="1" t="s">
        <v>24</v>
      </c>
      <c r="K140" s="1" t="s">
        <v>49</v>
      </c>
      <c r="L140" t="str">
        <f>TEXT(Table2[[#This Row],[Order Date]],"YYY")</f>
        <v>2024</v>
      </c>
      <c r="M140" t="str">
        <f>TEXT(Table2[[#This Row],[Order Date]],"MMM")</f>
        <v>Nov</v>
      </c>
      <c r="N140" t="str">
        <f>TEXT(Table2[[#This Row],[Order Date]],"DDD")</f>
        <v>Sun</v>
      </c>
      <c r="O140">
        <f>DATEDIF(Table2[[#This Row],[Order Date]],Table2[[#This Row],[Delivered Date]],"D")</f>
        <v>10</v>
      </c>
      <c r="P140" s="10">
        <f>ROUND(Table2[[#This Row],[Quantity]]*Table2[[#This Row],[Unit Price]]*VLOOKUP(Table2[[#This Row],[Product Name]],Table_1[#All],2,FALSE),0)</f>
        <v>3298</v>
      </c>
      <c r="Q140" s="10">
        <f>Table2[[#This Row],[Quantity]]*Table2[[#This Row],[Unit Price]]</f>
        <v>3880</v>
      </c>
      <c r="R140" s="10">
        <f>Table2[[#This Row],[Sales Revenue]]-Table2[[#This Row],[Total Cost After Product Percentage Calc]]</f>
        <v>582</v>
      </c>
    </row>
    <row r="141" spans="1:18" ht="14.25" customHeight="1" x14ac:dyDescent="0.3">
      <c r="A141" s="1">
        <v>140</v>
      </c>
      <c r="B141" s="1" t="s">
        <v>190</v>
      </c>
      <c r="C141" s="1" t="s">
        <v>26</v>
      </c>
      <c r="D141" s="1" t="s">
        <v>74</v>
      </c>
      <c r="E141" s="2">
        <v>45621</v>
      </c>
      <c r="F141" s="4">
        <v>45624</v>
      </c>
      <c r="G141" s="1">
        <v>10</v>
      </c>
      <c r="H141" s="1">
        <v>340</v>
      </c>
      <c r="I141" s="1" t="s">
        <v>14</v>
      </c>
      <c r="J141" s="1" t="s">
        <v>24</v>
      </c>
      <c r="K141" s="1" t="s">
        <v>32</v>
      </c>
      <c r="L141" t="str">
        <f>TEXT(Table2[[#This Row],[Order Date]],"YYY")</f>
        <v>2024</v>
      </c>
      <c r="M141" t="str">
        <f>TEXT(Table2[[#This Row],[Order Date]],"MMM")</f>
        <v>Nov</v>
      </c>
      <c r="N141" t="str">
        <f>TEXT(Table2[[#This Row],[Order Date]],"DDD")</f>
        <v>Mon</v>
      </c>
      <c r="O141">
        <f>DATEDIF(Table2[[#This Row],[Order Date]],Table2[[#This Row],[Delivered Date]],"D")</f>
        <v>3</v>
      </c>
      <c r="P141" s="10">
        <f>ROUND(Table2[[#This Row],[Quantity]]*Table2[[#This Row],[Unit Price]]*VLOOKUP(Table2[[#This Row],[Product Name]],Table_1[#All],2,FALSE),0)</f>
        <v>1870</v>
      </c>
      <c r="Q141" s="10">
        <f>Table2[[#This Row],[Quantity]]*Table2[[#This Row],[Unit Price]]</f>
        <v>3400</v>
      </c>
      <c r="R141" s="10">
        <f>Table2[[#This Row],[Sales Revenue]]-Table2[[#This Row],[Total Cost After Product Percentage Calc]]</f>
        <v>1530</v>
      </c>
    </row>
    <row r="142" spans="1:18" ht="14.25" customHeight="1" x14ac:dyDescent="0.3">
      <c r="A142" s="1">
        <v>141</v>
      </c>
      <c r="B142" s="1" t="s">
        <v>191</v>
      </c>
      <c r="C142" s="1" t="s">
        <v>26</v>
      </c>
      <c r="D142" s="1" t="s">
        <v>119</v>
      </c>
      <c r="E142" s="2">
        <v>45532</v>
      </c>
      <c r="F142" s="4">
        <v>45543</v>
      </c>
      <c r="G142" s="1">
        <v>8</v>
      </c>
      <c r="H142" s="1">
        <v>656</v>
      </c>
      <c r="I142" s="1" t="s">
        <v>30</v>
      </c>
      <c r="J142" s="1" t="s">
        <v>52</v>
      </c>
      <c r="K142" s="1" t="s">
        <v>16</v>
      </c>
      <c r="L142" t="str">
        <f>TEXT(Table2[[#This Row],[Order Date]],"YYY")</f>
        <v>2024</v>
      </c>
      <c r="M142" t="str">
        <f>TEXT(Table2[[#This Row],[Order Date]],"MMM")</f>
        <v>Aug</v>
      </c>
      <c r="N142" t="str">
        <f>TEXT(Table2[[#This Row],[Order Date]],"DDD")</f>
        <v>Wed</v>
      </c>
      <c r="O142">
        <f>DATEDIF(Table2[[#This Row],[Order Date]],Table2[[#This Row],[Delivered Date]],"D")</f>
        <v>11</v>
      </c>
      <c r="P142" s="10">
        <f>ROUND(Table2[[#This Row],[Quantity]]*Table2[[#This Row],[Unit Price]]*VLOOKUP(Table2[[#This Row],[Product Name]],Table_1[#All],2,FALSE),0)</f>
        <v>3149</v>
      </c>
      <c r="Q142" s="10">
        <f>Table2[[#This Row],[Quantity]]*Table2[[#This Row],[Unit Price]]</f>
        <v>5248</v>
      </c>
      <c r="R142" s="10">
        <f>Table2[[#This Row],[Sales Revenue]]-Table2[[#This Row],[Total Cost After Product Percentage Calc]]</f>
        <v>2099</v>
      </c>
    </row>
    <row r="143" spans="1:18" ht="14.25" customHeight="1" x14ac:dyDescent="0.3">
      <c r="A143" s="1">
        <v>142</v>
      </c>
      <c r="B143" s="1" t="s">
        <v>192</v>
      </c>
      <c r="C143" s="1" t="s">
        <v>12</v>
      </c>
      <c r="D143" s="1" t="s">
        <v>100</v>
      </c>
      <c r="E143" s="2">
        <v>45551</v>
      </c>
      <c r="F143" s="4">
        <v>45555</v>
      </c>
      <c r="G143" s="1">
        <v>2</v>
      </c>
      <c r="H143" s="1">
        <v>327</v>
      </c>
      <c r="I143" s="1" t="s">
        <v>14</v>
      </c>
      <c r="J143" s="1" t="s">
        <v>31</v>
      </c>
      <c r="K143" s="1" t="s">
        <v>49</v>
      </c>
      <c r="L143" t="str">
        <f>TEXT(Table2[[#This Row],[Order Date]],"YYY")</f>
        <v>2024</v>
      </c>
      <c r="M143" t="str">
        <f>TEXT(Table2[[#This Row],[Order Date]],"MMM")</f>
        <v>Sep</v>
      </c>
      <c r="N143" t="str">
        <f>TEXT(Table2[[#This Row],[Order Date]],"DDD")</f>
        <v>Mon</v>
      </c>
      <c r="O143">
        <f>DATEDIF(Table2[[#This Row],[Order Date]],Table2[[#This Row],[Delivered Date]],"D")</f>
        <v>4</v>
      </c>
      <c r="P143" s="10">
        <f>ROUND(Table2[[#This Row],[Quantity]]*Table2[[#This Row],[Unit Price]]*VLOOKUP(Table2[[#This Row],[Product Name]],Table_1[#All],2,FALSE),0)</f>
        <v>458</v>
      </c>
      <c r="Q143" s="10">
        <f>Table2[[#This Row],[Quantity]]*Table2[[#This Row],[Unit Price]]</f>
        <v>654</v>
      </c>
      <c r="R143" s="10">
        <f>Table2[[#This Row],[Sales Revenue]]-Table2[[#This Row],[Total Cost After Product Percentage Calc]]</f>
        <v>196</v>
      </c>
    </row>
    <row r="144" spans="1:18" ht="14.25" customHeight="1" x14ac:dyDescent="0.3">
      <c r="A144" s="1">
        <v>143</v>
      </c>
      <c r="B144" s="1" t="s">
        <v>193</v>
      </c>
      <c r="C144" s="1" t="s">
        <v>12</v>
      </c>
      <c r="D144" s="1" t="s">
        <v>100</v>
      </c>
      <c r="E144" s="2">
        <v>45438</v>
      </c>
      <c r="F144" s="4">
        <v>45444</v>
      </c>
      <c r="G144" s="1">
        <v>2</v>
      </c>
      <c r="H144" s="1">
        <v>670</v>
      </c>
      <c r="I144" s="1" t="s">
        <v>30</v>
      </c>
      <c r="J144" s="1" t="s">
        <v>24</v>
      </c>
      <c r="K144" s="1" t="s">
        <v>20</v>
      </c>
      <c r="L144" t="str">
        <f>TEXT(Table2[[#This Row],[Order Date]],"YYY")</f>
        <v>2024</v>
      </c>
      <c r="M144" t="str">
        <f>TEXT(Table2[[#This Row],[Order Date]],"MMM")</f>
        <v>May</v>
      </c>
      <c r="N144" t="str">
        <f>TEXT(Table2[[#This Row],[Order Date]],"DDD")</f>
        <v>Sun</v>
      </c>
      <c r="O144">
        <f>DATEDIF(Table2[[#This Row],[Order Date]],Table2[[#This Row],[Delivered Date]],"D")</f>
        <v>6</v>
      </c>
      <c r="P144" s="10">
        <f>ROUND(Table2[[#This Row],[Quantity]]*Table2[[#This Row],[Unit Price]]*VLOOKUP(Table2[[#This Row],[Product Name]],Table_1[#All],2,FALSE),0)</f>
        <v>938</v>
      </c>
      <c r="Q144" s="10">
        <f>Table2[[#This Row],[Quantity]]*Table2[[#This Row],[Unit Price]]</f>
        <v>1340</v>
      </c>
      <c r="R144" s="10">
        <f>Table2[[#This Row],[Sales Revenue]]-Table2[[#This Row],[Total Cost After Product Percentage Calc]]</f>
        <v>402</v>
      </c>
    </row>
    <row r="145" spans="1:18" ht="14.25" customHeight="1" x14ac:dyDescent="0.3">
      <c r="A145" s="1">
        <v>144</v>
      </c>
      <c r="B145" s="1" t="s">
        <v>194</v>
      </c>
      <c r="C145" s="1" t="s">
        <v>18</v>
      </c>
      <c r="D145" s="1" t="s">
        <v>68</v>
      </c>
      <c r="E145" s="2">
        <v>45456</v>
      </c>
      <c r="F145" s="4">
        <v>45461</v>
      </c>
      <c r="G145" s="1">
        <v>10</v>
      </c>
      <c r="H145" s="1">
        <v>497</v>
      </c>
      <c r="I145" s="1" t="s">
        <v>14</v>
      </c>
      <c r="J145" s="1" t="s">
        <v>36</v>
      </c>
      <c r="K145" s="1" t="s">
        <v>49</v>
      </c>
      <c r="L145" t="str">
        <f>TEXT(Table2[[#This Row],[Order Date]],"YYY")</f>
        <v>2024</v>
      </c>
      <c r="M145" t="str">
        <f>TEXT(Table2[[#This Row],[Order Date]],"MMM")</f>
        <v>Jun</v>
      </c>
      <c r="N145" t="str">
        <f>TEXT(Table2[[#This Row],[Order Date]],"DDD")</f>
        <v>Thu</v>
      </c>
      <c r="O145">
        <f>DATEDIF(Table2[[#This Row],[Order Date]],Table2[[#This Row],[Delivered Date]],"D")</f>
        <v>5</v>
      </c>
      <c r="P145" s="10">
        <f>ROUND(Table2[[#This Row],[Quantity]]*Table2[[#This Row],[Unit Price]]*VLOOKUP(Table2[[#This Row],[Product Name]],Table_1[#All],2,FALSE),0)</f>
        <v>2485</v>
      </c>
      <c r="Q145" s="10">
        <f>Table2[[#This Row],[Quantity]]*Table2[[#This Row],[Unit Price]]</f>
        <v>4970</v>
      </c>
      <c r="R145" s="10">
        <f>Table2[[#This Row],[Sales Revenue]]-Table2[[#This Row],[Total Cost After Product Percentage Calc]]</f>
        <v>2485</v>
      </c>
    </row>
    <row r="146" spans="1:18" ht="14.25" customHeight="1" x14ac:dyDescent="0.3">
      <c r="A146" s="1">
        <v>145</v>
      </c>
      <c r="B146" s="1" t="s">
        <v>195</v>
      </c>
      <c r="C146" s="1" t="s">
        <v>26</v>
      </c>
      <c r="D146" s="1" t="s">
        <v>119</v>
      </c>
      <c r="E146" s="2">
        <v>45467</v>
      </c>
      <c r="F146" s="4">
        <v>45476</v>
      </c>
      <c r="G146" s="1">
        <v>2</v>
      </c>
      <c r="H146" s="1">
        <v>526</v>
      </c>
      <c r="I146" s="1" t="s">
        <v>14</v>
      </c>
      <c r="J146" s="1" t="s">
        <v>36</v>
      </c>
      <c r="K146" s="1" t="s">
        <v>32</v>
      </c>
      <c r="L146" t="str">
        <f>TEXT(Table2[[#This Row],[Order Date]],"YYY")</f>
        <v>2024</v>
      </c>
      <c r="M146" t="str">
        <f>TEXT(Table2[[#This Row],[Order Date]],"MMM")</f>
        <v>Jun</v>
      </c>
      <c r="N146" t="str">
        <f>TEXT(Table2[[#This Row],[Order Date]],"DDD")</f>
        <v>Mon</v>
      </c>
      <c r="O146">
        <f>DATEDIF(Table2[[#This Row],[Order Date]],Table2[[#This Row],[Delivered Date]],"D")</f>
        <v>9</v>
      </c>
      <c r="P146" s="10">
        <f>ROUND(Table2[[#This Row],[Quantity]]*Table2[[#This Row],[Unit Price]]*VLOOKUP(Table2[[#This Row],[Product Name]],Table_1[#All],2,FALSE),0)</f>
        <v>631</v>
      </c>
      <c r="Q146" s="10">
        <f>Table2[[#This Row],[Quantity]]*Table2[[#This Row],[Unit Price]]</f>
        <v>1052</v>
      </c>
      <c r="R146" s="10">
        <f>Table2[[#This Row],[Sales Revenue]]-Table2[[#This Row],[Total Cost After Product Percentage Calc]]</f>
        <v>421</v>
      </c>
    </row>
    <row r="147" spans="1:18" ht="14.25" customHeight="1" x14ac:dyDescent="0.3">
      <c r="A147" s="1">
        <v>146</v>
      </c>
      <c r="B147" s="1" t="s">
        <v>196</v>
      </c>
      <c r="C147" s="1" t="s">
        <v>34</v>
      </c>
      <c r="D147" s="1" t="s">
        <v>83</v>
      </c>
      <c r="E147" s="2">
        <v>45490</v>
      </c>
      <c r="F147" s="4">
        <v>45504</v>
      </c>
      <c r="G147" s="1">
        <v>7</v>
      </c>
      <c r="H147" s="1">
        <v>803</v>
      </c>
      <c r="I147" s="1" t="s">
        <v>14</v>
      </c>
      <c r="J147" s="1" t="s">
        <v>52</v>
      </c>
      <c r="K147" s="1" t="s">
        <v>16</v>
      </c>
      <c r="L147" t="str">
        <f>TEXT(Table2[[#This Row],[Order Date]],"YYY")</f>
        <v>2024</v>
      </c>
      <c r="M147" t="str">
        <f>TEXT(Table2[[#This Row],[Order Date]],"MMM")</f>
        <v>Jul</v>
      </c>
      <c r="N147" t="str">
        <f>TEXT(Table2[[#This Row],[Order Date]],"DDD")</f>
        <v>Wed</v>
      </c>
      <c r="O147">
        <f>DATEDIF(Table2[[#This Row],[Order Date]],Table2[[#This Row],[Delivered Date]],"D")</f>
        <v>14</v>
      </c>
      <c r="P147" s="10">
        <f>ROUND(Table2[[#This Row],[Quantity]]*Table2[[#This Row],[Unit Price]]*VLOOKUP(Table2[[#This Row],[Product Name]],Table_1[#All],2,FALSE),0)</f>
        <v>3654</v>
      </c>
      <c r="Q147" s="10">
        <f>Table2[[#This Row],[Quantity]]*Table2[[#This Row],[Unit Price]]</f>
        <v>5621</v>
      </c>
      <c r="R147" s="10">
        <f>Table2[[#This Row],[Sales Revenue]]-Table2[[#This Row],[Total Cost After Product Percentage Calc]]</f>
        <v>1967</v>
      </c>
    </row>
    <row r="148" spans="1:18" ht="14.25" customHeight="1" x14ac:dyDescent="0.3">
      <c r="A148" s="1">
        <v>147</v>
      </c>
      <c r="B148" s="1" t="s">
        <v>197</v>
      </c>
      <c r="C148" s="1" t="s">
        <v>34</v>
      </c>
      <c r="D148" s="1" t="s">
        <v>54</v>
      </c>
      <c r="E148" s="2">
        <v>45358</v>
      </c>
      <c r="F148" s="4">
        <v>45364</v>
      </c>
      <c r="G148" s="1">
        <v>10</v>
      </c>
      <c r="H148" s="1">
        <v>735</v>
      </c>
      <c r="I148" s="1" t="s">
        <v>30</v>
      </c>
      <c r="J148" s="1" t="s">
        <v>15</v>
      </c>
      <c r="K148" s="1" t="s">
        <v>20</v>
      </c>
      <c r="L148" t="str">
        <f>TEXT(Table2[[#This Row],[Order Date]],"YYY")</f>
        <v>2024</v>
      </c>
      <c r="M148" t="str">
        <f>TEXT(Table2[[#This Row],[Order Date]],"MMM")</f>
        <v>Mar</v>
      </c>
      <c r="N148" t="str">
        <f>TEXT(Table2[[#This Row],[Order Date]],"DDD")</f>
        <v>Thu</v>
      </c>
      <c r="O148">
        <f>DATEDIF(Table2[[#This Row],[Order Date]],Table2[[#This Row],[Delivered Date]],"D")</f>
        <v>6</v>
      </c>
      <c r="P148" s="10">
        <f>ROUND(Table2[[#This Row],[Quantity]]*Table2[[#This Row],[Unit Price]]*VLOOKUP(Table2[[#This Row],[Product Name]],Table_1[#All],2,FALSE),0)</f>
        <v>5145</v>
      </c>
      <c r="Q148" s="10">
        <f>Table2[[#This Row],[Quantity]]*Table2[[#This Row],[Unit Price]]</f>
        <v>7350</v>
      </c>
      <c r="R148" s="10">
        <f>Table2[[#This Row],[Sales Revenue]]-Table2[[#This Row],[Total Cost After Product Percentage Calc]]</f>
        <v>2205</v>
      </c>
    </row>
    <row r="149" spans="1:18" ht="14.25" customHeight="1" x14ac:dyDescent="0.3">
      <c r="A149" s="1">
        <v>148</v>
      </c>
      <c r="B149" s="1" t="s">
        <v>198</v>
      </c>
      <c r="C149" s="1" t="s">
        <v>26</v>
      </c>
      <c r="D149" s="1" t="s">
        <v>27</v>
      </c>
      <c r="E149" s="2">
        <v>45357</v>
      </c>
      <c r="F149" s="4">
        <v>45362</v>
      </c>
      <c r="G149" s="1">
        <v>9</v>
      </c>
      <c r="H149" s="1">
        <v>105</v>
      </c>
      <c r="I149" s="1" t="s">
        <v>30</v>
      </c>
      <c r="J149" s="1" t="s">
        <v>36</v>
      </c>
      <c r="K149" s="1" t="s">
        <v>49</v>
      </c>
      <c r="L149" t="str">
        <f>TEXT(Table2[[#This Row],[Order Date]],"YYY")</f>
        <v>2024</v>
      </c>
      <c r="M149" t="str">
        <f>TEXT(Table2[[#This Row],[Order Date]],"MMM")</f>
        <v>Mar</v>
      </c>
      <c r="N149" t="str">
        <f>TEXT(Table2[[#This Row],[Order Date]],"DDD")</f>
        <v>Wed</v>
      </c>
      <c r="O149">
        <f>DATEDIF(Table2[[#This Row],[Order Date]],Table2[[#This Row],[Delivered Date]],"D")</f>
        <v>5</v>
      </c>
      <c r="P149" s="10">
        <f>ROUND(Table2[[#This Row],[Quantity]]*Table2[[#This Row],[Unit Price]]*VLOOKUP(Table2[[#This Row],[Product Name]],Table_1[#All],2,FALSE),0)</f>
        <v>520</v>
      </c>
      <c r="Q149" s="10">
        <f>Table2[[#This Row],[Quantity]]*Table2[[#This Row],[Unit Price]]</f>
        <v>945</v>
      </c>
      <c r="R149" s="10">
        <f>Table2[[#This Row],[Sales Revenue]]-Table2[[#This Row],[Total Cost After Product Percentage Calc]]</f>
        <v>425</v>
      </c>
    </row>
    <row r="150" spans="1:18" ht="14.25" customHeight="1" x14ac:dyDescent="0.3">
      <c r="A150" s="1">
        <v>149</v>
      </c>
      <c r="B150" s="1" t="s">
        <v>199</v>
      </c>
      <c r="C150" s="1" t="s">
        <v>22</v>
      </c>
      <c r="D150" s="1" t="s">
        <v>58</v>
      </c>
      <c r="E150" s="2">
        <v>45362</v>
      </c>
      <c r="F150" s="4">
        <v>45367</v>
      </c>
      <c r="G150" s="1">
        <v>3</v>
      </c>
      <c r="H150" s="1">
        <v>89</v>
      </c>
      <c r="I150" s="1" t="s">
        <v>30</v>
      </c>
      <c r="J150" s="1" t="s">
        <v>52</v>
      </c>
      <c r="K150" s="1" t="s">
        <v>49</v>
      </c>
      <c r="L150" t="str">
        <f>TEXT(Table2[[#This Row],[Order Date]],"YYY")</f>
        <v>2024</v>
      </c>
      <c r="M150" t="str">
        <f>TEXT(Table2[[#This Row],[Order Date]],"MMM")</f>
        <v>Mar</v>
      </c>
      <c r="N150" t="str">
        <f>TEXT(Table2[[#This Row],[Order Date]],"DDD")</f>
        <v>Mon</v>
      </c>
      <c r="O150">
        <f>DATEDIF(Table2[[#This Row],[Order Date]],Table2[[#This Row],[Delivered Date]],"D")</f>
        <v>5</v>
      </c>
      <c r="P150" s="10">
        <f>ROUND(Table2[[#This Row],[Quantity]]*Table2[[#This Row],[Unit Price]]*VLOOKUP(Table2[[#This Row],[Product Name]],Table_1[#All],2,FALSE),0)</f>
        <v>187</v>
      </c>
      <c r="Q150" s="10">
        <f>Table2[[#This Row],[Quantity]]*Table2[[#This Row],[Unit Price]]</f>
        <v>267</v>
      </c>
      <c r="R150" s="10">
        <f>Table2[[#This Row],[Sales Revenue]]-Table2[[#This Row],[Total Cost After Product Percentage Calc]]</f>
        <v>80</v>
      </c>
    </row>
    <row r="151" spans="1:18" ht="14.25" customHeight="1" x14ac:dyDescent="0.3">
      <c r="A151" s="1">
        <v>150</v>
      </c>
      <c r="B151" s="1" t="s">
        <v>200</v>
      </c>
      <c r="C151" s="1" t="s">
        <v>18</v>
      </c>
      <c r="D151" s="1" t="s">
        <v>64</v>
      </c>
      <c r="E151" s="2">
        <v>45311</v>
      </c>
      <c r="F151" s="4">
        <v>45316</v>
      </c>
      <c r="G151" s="1">
        <v>6</v>
      </c>
      <c r="H151" s="1">
        <v>907</v>
      </c>
      <c r="I151" s="1" t="s">
        <v>14</v>
      </c>
      <c r="J151" s="1" t="s">
        <v>24</v>
      </c>
      <c r="K151" s="1" t="s">
        <v>16</v>
      </c>
      <c r="L151" t="str">
        <f>TEXT(Table2[[#This Row],[Order Date]],"YYY")</f>
        <v>2024</v>
      </c>
      <c r="M151" t="str">
        <f>TEXT(Table2[[#This Row],[Order Date]],"MMM")</f>
        <v>Jan</v>
      </c>
      <c r="N151" t="str">
        <f>TEXT(Table2[[#This Row],[Order Date]],"DDD")</f>
        <v>Sat</v>
      </c>
      <c r="O151">
        <f>DATEDIF(Table2[[#This Row],[Order Date]],Table2[[#This Row],[Delivered Date]],"D")</f>
        <v>5</v>
      </c>
      <c r="P151" s="10">
        <f>ROUND(Table2[[#This Row],[Quantity]]*Table2[[#This Row],[Unit Price]]*VLOOKUP(Table2[[#This Row],[Product Name]],Table_1[#All],2,FALSE),0)</f>
        <v>3537</v>
      </c>
      <c r="Q151" s="10">
        <f>Table2[[#This Row],[Quantity]]*Table2[[#This Row],[Unit Price]]</f>
        <v>5442</v>
      </c>
      <c r="R151" s="10">
        <f>Table2[[#This Row],[Sales Revenue]]-Table2[[#This Row],[Total Cost After Product Percentage Calc]]</f>
        <v>1905</v>
      </c>
    </row>
    <row r="152" spans="1:18" ht="14.25" customHeight="1" x14ac:dyDescent="0.3">
      <c r="A152" s="1">
        <v>151</v>
      </c>
      <c r="B152" s="1" t="s">
        <v>201</v>
      </c>
      <c r="C152" s="1" t="s">
        <v>18</v>
      </c>
      <c r="D152" s="1" t="s">
        <v>47</v>
      </c>
      <c r="E152" s="2">
        <v>45370</v>
      </c>
      <c r="F152" s="4">
        <v>45376</v>
      </c>
      <c r="G152" s="1">
        <v>3</v>
      </c>
      <c r="H152" s="1">
        <v>195</v>
      </c>
      <c r="I152" s="1" t="s">
        <v>14</v>
      </c>
      <c r="J152" s="1" t="s">
        <v>24</v>
      </c>
      <c r="K152" s="1" t="s">
        <v>16</v>
      </c>
      <c r="L152" t="str">
        <f>TEXT(Table2[[#This Row],[Order Date]],"YYY")</f>
        <v>2024</v>
      </c>
      <c r="M152" t="str">
        <f>TEXT(Table2[[#This Row],[Order Date]],"MMM")</f>
        <v>Mar</v>
      </c>
      <c r="N152" t="str">
        <f>TEXT(Table2[[#This Row],[Order Date]],"DDD")</f>
        <v>Tue</v>
      </c>
      <c r="O152">
        <f>DATEDIF(Table2[[#This Row],[Order Date]],Table2[[#This Row],[Delivered Date]],"D")</f>
        <v>6</v>
      </c>
      <c r="P152" s="10">
        <f>ROUND(Table2[[#This Row],[Quantity]]*Table2[[#This Row],[Unit Price]]*VLOOKUP(Table2[[#This Row],[Product Name]],Table_1[#All],2,FALSE),0)</f>
        <v>351</v>
      </c>
      <c r="Q152" s="10">
        <f>Table2[[#This Row],[Quantity]]*Table2[[#This Row],[Unit Price]]</f>
        <v>585</v>
      </c>
      <c r="R152" s="10">
        <f>Table2[[#This Row],[Sales Revenue]]-Table2[[#This Row],[Total Cost After Product Percentage Calc]]</f>
        <v>234</v>
      </c>
    </row>
    <row r="153" spans="1:18" ht="14.25" customHeight="1" x14ac:dyDescent="0.3">
      <c r="A153" s="1">
        <v>152</v>
      </c>
      <c r="B153" s="1" t="s">
        <v>202</v>
      </c>
      <c r="C153" s="1" t="s">
        <v>18</v>
      </c>
      <c r="D153" s="1" t="s">
        <v>64</v>
      </c>
      <c r="E153" s="2">
        <v>45506</v>
      </c>
      <c r="F153" s="4">
        <v>45515</v>
      </c>
      <c r="G153" s="1">
        <v>3</v>
      </c>
      <c r="H153" s="1">
        <v>846</v>
      </c>
      <c r="I153" s="1" t="s">
        <v>14</v>
      </c>
      <c r="J153" s="1" t="s">
        <v>15</v>
      </c>
      <c r="K153" s="1" t="s">
        <v>49</v>
      </c>
      <c r="L153" t="str">
        <f>TEXT(Table2[[#This Row],[Order Date]],"YYY")</f>
        <v>2024</v>
      </c>
      <c r="M153" t="str">
        <f>TEXT(Table2[[#This Row],[Order Date]],"MMM")</f>
        <v>Aug</v>
      </c>
      <c r="N153" t="str">
        <f>TEXT(Table2[[#This Row],[Order Date]],"DDD")</f>
        <v>Fri</v>
      </c>
      <c r="O153">
        <f>DATEDIF(Table2[[#This Row],[Order Date]],Table2[[#This Row],[Delivered Date]],"D")</f>
        <v>9</v>
      </c>
      <c r="P153" s="10">
        <f>ROUND(Table2[[#This Row],[Quantity]]*Table2[[#This Row],[Unit Price]]*VLOOKUP(Table2[[#This Row],[Product Name]],Table_1[#All],2,FALSE),0)</f>
        <v>1650</v>
      </c>
      <c r="Q153" s="10">
        <f>Table2[[#This Row],[Quantity]]*Table2[[#This Row],[Unit Price]]</f>
        <v>2538</v>
      </c>
      <c r="R153" s="10">
        <f>Table2[[#This Row],[Sales Revenue]]-Table2[[#This Row],[Total Cost After Product Percentage Calc]]</f>
        <v>888</v>
      </c>
    </row>
    <row r="154" spans="1:18" ht="14.25" customHeight="1" x14ac:dyDescent="0.3">
      <c r="A154" s="1">
        <v>153</v>
      </c>
      <c r="B154" s="1" t="s">
        <v>203</v>
      </c>
      <c r="C154" s="1" t="s">
        <v>34</v>
      </c>
      <c r="D154" s="1" t="s">
        <v>80</v>
      </c>
      <c r="E154" s="2">
        <v>45620</v>
      </c>
      <c r="F154" s="4">
        <v>45628</v>
      </c>
      <c r="G154" s="1">
        <v>8</v>
      </c>
      <c r="H154" s="1">
        <v>905</v>
      </c>
      <c r="I154" s="1" t="s">
        <v>14</v>
      </c>
      <c r="J154" s="1" t="s">
        <v>52</v>
      </c>
      <c r="K154" s="1" t="s">
        <v>49</v>
      </c>
      <c r="L154" t="str">
        <f>TEXT(Table2[[#This Row],[Order Date]],"YYY")</f>
        <v>2024</v>
      </c>
      <c r="M154" t="str">
        <f>TEXT(Table2[[#This Row],[Order Date]],"MMM")</f>
        <v>Nov</v>
      </c>
      <c r="N154" t="str">
        <f>TEXT(Table2[[#This Row],[Order Date]],"DDD")</f>
        <v>Sun</v>
      </c>
      <c r="O154">
        <f>DATEDIF(Table2[[#This Row],[Order Date]],Table2[[#This Row],[Delivered Date]],"D")</f>
        <v>8</v>
      </c>
      <c r="P154" s="10">
        <f>ROUND(Table2[[#This Row],[Quantity]]*Table2[[#This Row],[Unit Price]]*VLOOKUP(Table2[[#This Row],[Product Name]],Table_1[#All],2,FALSE),0)</f>
        <v>5430</v>
      </c>
      <c r="Q154" s="10">
        <f>Table2[[#This Row],[Quantity]]*Table2[[#This Row],[Unit Price]]</f>
        <v>7240</v>
      </c>
      <c r="R154" s="10">
        <f>Table2[[#This Row],[Sales Revenue]]-Table2[[#This Row],[Total Cost After Product Percentage Calc]]</f>
        <v>1810</v>
      </c>
    </row>
    <row r="155" spans="1:18" ht="14.25" customHeight="1" x14ac:dyDescent="0.3">
      <c r="A155" s="1">
        <v>154</v>
      </c>
      <c r="B155" s="1" t="s">
        <v>204</v>
      </c>
      <c r="C155" s="1" t="s">
        <v>12</v>
      </c>
      <c r="D155" s="1" t="s">
        <v>100</v>
      </c>
      <c r="E155" s="2">
        <v>45406</v>
      </c>
      <c r="F155" s="4">
        <v>45418</v>
      </c>
      <c r="G155" s="1">
        <v>1</v>
      </c>
      <c r="H155" s="1">
        <v>336</v>
      </c>
      <c r="I155" s="1" t="s">
        <v>14</v>
      </c>
      <c r="J155" s="1" t="s">
        <v>15</v>
      </c>
      <c r="K155" s="1" t="s">
        <v>20</v>
      </c>
      <c r="L155" t="str">
        <f>TEXT(Table2[[#This Row],[Order Date]],"YYY")</f>
        <v>2024</v>
      </c>
      <c r="M155" t="str">
        <f>TEXT(Table2[[#This Row],[Order Date]],"MMM")</f>
        <v>Apr</v>
      </c>
      <c r="N155" t="str">
        <f>TEXT(Table2[[#This Row],[Order Date]],"DDD")</f>
        <v>Wed</v>
      </c>
      <c r="O155">
        <f>DATEDIF(Table2[[#This Row],[Order Date]],Table2[[#This Row],[Delivered Date]],"D")</f>
        <v>12</v>
      </c>
      <c r="P155" s="10">
        <f>ROUND(Table2[[#This Row],[Quantity]]*Table2[[#This Row],[Unit Price]]*VLOOKUP(Table2[[#This Row],[Product Name]],Table_1[#All],2,FALSE),0)</f>
        <v>235</v>
      </c>
      <c r="Q155" s="10">
        <f>Table2[[#This Row],[Quantity]]*Table2[[#This Row],[Unit Price]]</f>
        <v>336</v>
      </c>
      <c r="R155" s="10">
        <f>Table2[[#This Row],[Sales Revenue]]-Table2[[#This Row],[Total Cost After Product Percentage Calc]]</f>
        <v>101</v>
      </c>
    </row>
    <row r="156" spans="1:18" ht="14.25" customHeight="1" x14ac:dyDescent="0.3">
      <c r="A156" s="1">
        <v>155</v>
      </c>
      <c r="B156" s="1" t="s">
        <v>205</v>
      </c>
      <c r="C156" s="1" t="s">
        <v>22</v>
      </c>
      <c r="D156" s="1" t="s">
        <v>43</v>
      </c>
      <c r="E156" s="2">
        <v>45438</v>
      </c>
      <c r="F156" s="4">
        <v>45452</v>
      </c>
      <c r="G156" s="1">
        <v>8</v>
      </c>
      <c r="H156" s="1">
        <v>722</v>
      </c>
      <c r="I156" s="1" t="s">
        <v>30</v>
      </c>
      <c r="J156" s="1" t="s">
        <v>24</v>
      </c>
      <c r="K156" s="1" t="s">
        <v>32</v>
      </c>
      <c r="L156" t="str">
        <f>TEXT(Table2[[#This Row],[Order Date]],"YYY")</f>
        <v>2024</v>
      </c>
      <c r="M156" t="str">
        <f>TEXT(Table2[[#This Row],[Order Date]],"MMM")</f>
        <v>May</v>
      </c>
      <c r="N156" t="str">
        <f>TEXT(Table2[[#This Row],[Order Date]],"DDD")</f>
        <v>Sun</v>
      </c>
      <c r="O156">
        <f>DATEDIF(Table2[[#This Row],[Order Date]],Table2[[#This Row],[Delivered Date]],"D")</f>
        <v>14</v>
      </c>
      <c r="P156" s="10">
        <f>ROUND(Table2[[#This Row],[Quantity]]*Table2[[#This Row],[Unit Price]]*VLOOKUP(Table2[[#This Row],[Product Name]],Table_1[#All],2,FALSE),0)</f>
        <v>3754</v>
      </c>
      <c r="Q156" s="10">
        <f>Table2[[#This Row],[Quantity]]*Table2[[#This Row],[Unit Price]]</f>
        <v>5776</v>
      </c>
      <c r="R156" s="10">
        <f>Table2[[#This Row],[Sales Revenue]]-Table2[[#This Row],[Total Cost After Product Percentage Calc]]</f>
        <v>2022</v>
      </c>
    </row>
    <row r="157" spans="1:18" ht="14.25" customHeight="1" x14ac:dyDescent="0.3">
      <c r="A157" s="1">
        <v>156</v>
      </c>
      <c r="B157" s="1" t="s">
        <v>206</v>
      </c>
      <c r="C157" s="1" t="s">
        <v>12</v>
      </c>
      <c r="D157" s="1" t="s">
        <v>13</v>
      </c>
      <c r="E157" s="2">
        <v>45547</v>
      </c>
      <c r="F157" s="4">
        <v>45558</v>
      </c>
      <c r="G157" s="1">
        <v>10</v>
      </c>
      <c r="H157" s="1">
        <v>558</v>
      </c>
      <c r="I157" s="1" t="s">
        <v>30</v>
      </c>
      <c r="J157" s="1" t="s">
        <v>15</v>
      </c>
      <c r="K157" s="1" t="s">
        <v>16</v>
      </c>
      <c r="L157" t="str">
        <f>TEXT(Table2[[#This Row],[Order Date]],"YYY")</f>
        <v>2024</v>
      </c>
      <c r="M157" t="str">
        <f>TEXT(Table2[[#This Row],[Order Date]],"MMM")</f>
        <v>Sep</v>
      </c>
      <c r="N157" t="str">
        <f>TEXT(Table2[[#This Row],[Order Date]],"DDD")</f>
        <v>Thu</v>
      </c>
      <c r="O157">
        <f>DATEDIF(Table2[[#This Row],[Order Date]],Table2[[#This Row],[Delivered Date]],"D")</f>
        <v>11</v>
      </c>
      <c r="P157" s="10">
        <f>ROUND(Table2[[#This Row],[Quantity]]*Table2[[#This Row],[Unit Price]]*VLOOKUP(Table2[[#This Row],[Product Name]],Table_1[#All],2,FALSE),0)</f>
        <v>4185</v>
      </c>
      <c r="Q157" s="10">
        <f>Table2[[#This Row],[Quantity]]*Table2[[#This Row],[Unit Price]]</f>
        <v>5580</v>
      </c>
      <c r="R157" s="10">
        <f>Table2[[#This Row],[Sales Revenue]]-Table2[[#This Row],[Total Cost After Product Percentage Calc]]</f>
        <v>1395</v>
      </c>
    </row>
    <row r="158" spans="1:18" ht="14.25" customHeight="1" x14ac:dyDescent="0.3">
      <c r="A158" s="1">
        <v>157</v>
      </c>
      <c r="B158" s="1" t="s">
        <v>207</v>
      </c>
      <c r="C158" s="1" t="s">
        <v>22</v>
      </c>
      <c r="D158" s="1" t="s">
        <v>58</v>
      </c>
      <c r="E158" s="2">
        <v>45441</v>
      </c>
      <c r="F158" s="4">
        <v>45446</v>
      </c>
      <c r="G158" s="1">
        <v>7</v>
      </c>
      <c r="H158" s="1">
        <v>11</v>
      </c>
      <c r="I158" s="1" t="s">
        <v>14</v>
      </c>
      <c r="J158" s="1" t="s">
        <v>36</v>
      </c>
      <c r="K158" s="1" t="s">
        <v>16</v>
      </c>
      <c r="L158" t="str">
        <f>TEXT(Table2[[#This Row],[Order Date]],"YYY")</f>
        <v>2024</v>
      </c>
      <c r="M158" t="str">
        <f>TEXT(Table2[[#This Row],[Order Date]],"MMM")</f>
        <v>May</v>
      </c>
      <c r="N158" t="str">
        <f>TEXT(Table2[[#This Row],[Order Date]],"DDD")</f>
        <v>Wed</v>
      </c>
      <c r="O158">
        <f>DATEDIF(Table2[[#This Row],[Order Date]],Table2[[#This Row],[Delivered Date]],"D")</f>
        <v>5</v>
      </c>
      <c r="P158" s="10">
        <f>ROUND(Table2[[#This Row],[Quantity]]*Table2[[#This Row],[Unit Price]]*VLOOKUP(Table2[[#This Row],[Product Name]],Table_1[#All],2,FALSE),0)</f>
        <v>54</v>
      </c>
      <c r="Q158" s="10">
        <f>Table2[[#This Row],[Quantity]]*Table2[[#This Row],[Unit Price]]</f>
        <v>77</v>
      </c>
      <c r="R158" s="10">
        <f>Table2[[#This Row],[Sales Revenue]]-Table2[[#This Row],[Total Cost After Product Percentage Calc]]</f>
        <v>23</v>
      </c>
    </row>
    <row r="159" spans="1:18" ht="14.25" customHeight="1" x14ac:dyDescent="0.3">
      <c r="A159" s="1">
        <v>158</v>
      </c>
      <c r="B159" s="1" t="s">
        <v>208</v>
      </c>
      <c r="C159" s="1" t="s">
        <v>18</v>
      </c>
      <c r="D159" s="1" t="s">
        <v>47</v>
      </c>
      <c r="E159" s="2">
        <v>45387</v>
      </c>
      <c r="F159" s="4">
        <v>45396</v>
      </c>
      <c r="G159" s="1">
        <v>2</v>
      </c>
      <c r="H159" s="1">
        <v>546</v>
      </c>
      <c r="I159" s="1" t="s">
        <v>30</v>
      </c>
      <c r="J159" s="1" t="s">
        <v>52</v>
      </c>
      <c r="K159" s="1" t="s">
        <v>32</v>
      </c>
      <c r="L159" t="str">
        <f>TEXT(Table2[[#This Row],[Order Date]],"YYY")</f>
        <v>2024</v>
      </c>
      <c r="M159" t="str">
        <f>TEXT(Table2[[#This Row],[Order Date]],"MMM")</f>
        <v>Apr</v>
      </c>
      <c r="N159" t="str">
        <f>TEXT(Table2[[#This Row],[Order Date]],"DDD")</f>
        <v>Fri</v>
      </c>
      <c r="O159">
        <f>DATEDIF(Table2[[#This Row],[Order Date]],Table2[[#This Row],[Delivered Date]],"D")</f>
        <v>9</v>
      </c>
      <c r="P159" s="10">
        <f>ROUND(Table2[[#This Row],[Quantity]]*Table2[[#This Row],[Unit Price]]*VLOOKUP(Table2[[#This Row],[Product Name]],Table_1[#All],2,FALSE),0)</f>
        <v>655</v>
      </c>
      <c r="Q159" s="10">
        <f>Table2[[#This Row],[Quantity]]*Table2[[#This Row],[Unit Price]]</f>
        <v>1092</v>
      </c>
      <c r="R159" s="10">
        <f>Table2[[#This Row],[Sales Revenue]]-Table2[[#This Row],[Total Cost After Product Percentage Calc]]</f>
        <v>437</v>
      </c>
    </row>
    <row r="160" spans="1:18" ht="14.25" customHeight="1" x14ac:dyDescent="0.3">
      <c r="A160" s="1">
        <v>159</v>
      </c>
      <c r="B160" s="1" t="s">
        <v>209</v>
      </c>
      <c r="C160" s="1" t="s">
        <v>18</v>
      </c>
      <c r="D160" s="1" t="s">
        <v>64</v>
      </c>
      <c r="E160" s="2">
        <v>45551</v>
      </c>
      <c r="F160" s="4">
        <v>45558</v>
      </c>
      <c r="G160" s="1">
        <v>9</v>
      </c>
      <c r="H160" s="1">
        <v>30</v>
      </c>
      <c r="I160" s="1" t="s">
        <v>14</v>
      </c>
      <c r="J160" s="1" t="s">
        <v>31</v>
      </c>
      <c r="K160" s="1" t="s">
        <v>16</v>
      </c>
      <c r="L160" t="str">
        <f>TEXT(Table2[[#This Row],[Order Date]],"YYY")</f>
        <v>2024</v>
      </c>
      <c r="M160" t="str">
        <f>TEXT(Table2[[#This Row],[Order Date]],"MMM")</f>
        <v>Sep</v>
      </c>
      <c r="N160" t="str">
        <f>TEXT(Table2[[#This Row],[Order Date]],"DDD")</f>
        <v>Mon</v>
      </c>
      <c r="O160">
        <f>DATEDIF(Table2[[#This Row],[Order Date]],Table2[[#This Row],[Delivered Date]],"D")</f>
        <v>7</v>
      </c>
      <c r="P160" s="10">
        <f>ROUND(Table2[[#This Row],[Quantity]]*Table2[[#This Row],[Unit Price]]*VLOOKUP(Table2[[#This Row],[Product Name]],Table_1[#All],2,FALSE),0)</f>
        <v>176</v>
      </c>
      <c r="Q160" s="10">
        <f>Table2[[#This Row],[Quantity]]*Table2[[#This Row],[Unit Price]]</f>
        <v>270</v>
      </c>
      <c r="R160" s="10">
        <f>Table2[[#This Row],[Sales Revenue]]-Table2[[#This Row],[Total Cost After Product Percentage Calc]]</f>
        <v>94</v>
      </c>
    </row>
    <row r="161" spans="1:18" ht="14.25" customHeight="1" x14ac:dyDescent="0.3">
      <c r="A161" s="1">
        <v>160</v>
      </c>
      <c r="B161" s="1" t="s">
        <v>210</v>
      </c>
      <c r="C161" s="1" t="s">
        <v>22</v>
      </c>
      <c r="D161" s="1" t="s">
        <v>43</v>
      </c>
      <c r="E161" s="2">
        <v>45589</v>
      </c>
      <c r="F161" s="4">
        <v>45608</v>
      </c>
      <c r="G161" s="1">
        <v>6</v>
      </c>
      <c r="H161" s="1">
        <v>146</v>
      </c>
      <c r="I161" s="1" t="s">
        <v>30</v>
      </c>
      <c r="J161" s="1" t="s">
        <v>15</v>
      </c>
      <c r="K161" s="1" t="s">
        <v>20</v>
      </c>
      <c r="L161" t="str">
        <f>TEXT(Table2[[#This Row],[Order Date]],"YYY")</f>
        <v>2024</v>
      </c>
      <c r="M161" t="str">
        <f>TEXT(Table2[[#This Row],[Order Date]],"MMM")</f>
        <v>Oct</v>
      </c>
      <c r="N161" t="str">
        <f>TEXT(Table2[[#This Row],[Order Date]],"DDD")</f>
        <v>Thu</v>
      </c>
      <c r="O161">
        <f>DATEDIF(Table2[[#This Row],[Order Date]],Table2[[#This Row],[Delivered Date]],"D")</f>
        <v>19</v>
      </c>
      <c r="P161" s="10">
        <f>ROUND(Table2[[#This Row],[Quantity]]*Table2[[#This Row],[Unit Price]]*VLOOKUP(Table2[[#This Row],[Product Name]],Table_1[#All],2,FALSE),0)</f>
        <v>569</v>
      </c>
      <c r="Q161" s="10">
        <f>Table2[[#This Row],[Quantity]]*Table2[[#This Row],[Unit Price]]</f>
        <v>876</v>
      </c>
      <c r="R161" s="10">
        <f>Table2[[#This Row],[Sales Revenue]]-Table2[[#This Row],[Total Cost After Product Percentage Calc]]</f>
        <v>307</v>
      </c>
    </row>
    <row r="162" spans="1:18" ht="14.25" customHeight="1" x14ac:dyDescent="0.3">
      <c r="A162" s="1">
        <v>161</v>
      </c>
      <c r="B162" s="1" t="s">
        <v>211</v>
      </c>
      <c r="C162" s="1" t="s">
        <v>34</v>
      </c>
      <c r="D162" s="1" t="s">
        <v>45</v>
      </c>
      <c r="E162" s="2">
        <v>45642</v>
      </c>
      <c r="F162" s="4">
        <v>45646</v>
      </c>
      <c r="G162" s="1">
        <v>8</v>
      </c>
      <c r="H162" s="1">
        <v>722</v>
      </c>
      <c r="I162" s="1" t="s">
        <v>14</v>
      </c>
      <c r="J162" s="1" t="s">
        <v>31</v>
      </c>
      <c r="K162" s="1" t="s">
        <v>49</v>
      </c>
      <c r="L162" t="str">
        <f>TEXT(Table2[[#This Row],[Order Date]],"YYY")</f>
        <v>2024</v>
      </c>
      <c r="M162" t="str">
        <f>TEXT(Table2[[#This Row],[Order Date]],"MMM")</f>
        <v>Dec</v>
      </c>
      <c r="N162" t="str">
        <f>TEXT(Table2[[#This Row],[Order Date]],"DDD")</f>
        <v>Mon</v>
      </c>
      <c r="O162">
        <f>DATEDIF(Table2[[#This Row],[Order Date]],Table2[[#This Row],[Delivered Date]],"D")</f>
        <v>4</v>
      </c>
      <c r="P162" s="10">
        <f>ROUND(Table2[[#This Row],[Quantity]]*Table2[[#This Row],[Unit Price]]*VLOOKUP(Table2[[#This Row],[Product Name]],Table_1[#All],2,FALSE),0)</f>
        <v>3754</v>
      </c>
      <c r="Q162" s="10">
        <f>Table2[[#This Row],[Quantity]]*Table2[[#This Row],[Unit Price]]</f>
        <v>5776</v>
      </c>
      <c r="R162" s="10">
        <f>Table2[[#This Row],[Sales Revenue]]-Table2[[#This Row],[Total Cost After Product Percentage Calc]]</f>
        <v>2022</v>
      </c>
    </row>
    <row r="163" spans="1:18" ht="14.25" customHeight="1" x14ac:dyDescent="0.3">
      <c r="A163" s="1">
        <v>162</v>
      </c>
      <c r="B163" s="1" t="s">
        <v>212</v>
      </c>
      <c r="C163" s="1" t="s">
        <v>12</v>
      </c>
      <c r="D163" s="1" t="s">
        <v>29</v>
      </c>
      <c r="E163" s="2">
        <v>45310</v>
      </c>
      <c r="F163" s="4">
        <v>45324</v>
      </c>
      <c r="G163" s="1">
        <v>5</v>
      </c>
      <c r="H163" s="1">
        <v>216</v>
      </c>
      <c r="I163" s="1" t="s">
        <v>14</v>
      </c>
      <c r="J163" s="1" t="s">
        <v>15</v>
      </c>
      <c r="K163" s="1" t="s">
        <v>49</v>
      </c>
      <c r="L163" t="str">
        <f>TEXT(Table2[[#This Row],[Order Date]],"YYY")</f>
        <v>2024</v>
      </c>
      <c r="M163" t="str">
        <f>TEXT(Table2[[#This Row],[Order Date]],"MMM")</f>
        <v>Jan</v>
      </c>
      <c r="N163" t="str">
        <f>TEXT(Table2[[#This Row],[Order Date]],"DDD")</f>
        <v>Fri</v>
      </c>
      <c r="O163">
        <f>DATEDIF(Table2[[#This Row],[Order Date]],Table2[[#This Row],[Delivered Date]],"D")</f>
        <v>14</v>
      </c>
      <c r="P163" s="10">
        <f>ROUND(Table2[[#This Row],[Quantity]]*Table2[[#This Row],[Unit Price]]*VLOOKUP(Table2[[#This Row],[Product Name]],Table_1[#All],2,FALSE),0)</f>
        <v>702</v>
      </c>
      <c r="Q163" s="10">
        <f>Table2[[#This Row],[Quantity]]*Table2[[#This Row],[Unit Price]]</f>
        <v>1080</v>
      </c>
      <c r="R163" s="10">
        <f>Table2[[#This Row],[Sales Revenue]]-Table2[[#This Row],[Total Cost After Product Percentage Calc]]</f>
        <v>378</v>
      </c>
    </row>
    <row r="164" spans="1:18" ht="14.25" customHeight="1" x14ac:dyDescent="0.3">
      <c r="A164" s="1">
        <v>163</v>
      </c>
      <c r="B164" s="1" t="s">
        <v>213</v>
      </c>
      <c r="C164" s="1" t="s">
        <v>12</v>
      </c>
      <c r="D164" s="1" t="s">
        <v>62</v>
      </c>
      <c r="E164" s="2">
        <v>45438</v>
      </c>
      <c r="F164" s="4">
        <v>45445</v>
      </c>
      <c r="G164" s="1">
        <v>6</v>
      </c>
      <c r="H164" s="1">
        <v>892</v>
      </c>
      <c r="I164" s="1" t="s">
        <v>30</v>
      </c>
      <c r="J164" s="1" t="s">
        <v>24</v>
      </c>
      <c r="K164" s="1" t="s">
        <v>20</v>
      </c>
      <c r="L164" t="str">
        <f>TEXT(Table2[[#This Row],[Order Date]],"YYY")</f>
        <v>2024</v>
      </c>
      <c r="M164" t="str">
        <f>TEXT(Table2[[#This Row],[Order Date]],"MMM")</f>
        <v>May</v>
      </c>
      <c r="N164" t="str">
        <f>TEXT(Table2[[#This Row],[Order Date]],"DDD")</f>
        <v>Sun</v>
      </c>
      <c r="O164">
        <f>DATEDIF(Table2[[#This Row],[Order Date]],Table2[[#This Row],[Delivered Date]],"D")</f>
        <v>7</v>
      </c>
      <c r="P164" s="10">
        <f>ROUND(Table2[[#This Row],[Quantity]]*Table2[[#This Row],[Unit Price]]*VLOOKUP(Table2[[#This Row],[Product Name]],Table_1[#All],2,FALSE),0)</f>
        <v>4549</v>
      </c>
      <c r="Q164" s="10">
        <f>Table2[[#This Row],[Quantity]]*Table2[[#This Row],[Unit Price]]</f>
        <v>5352</v>
      </c>
      <c r="R164" s="10">
        <f>Table2[[#This Row],[Sales Revenue]]-Table2[[#This Row],[Total Cost After Product Percentage Calc]]</f>
        <v>803</v>
      </c>
    </row>
    <row r="165" spans="1:18" ht="14.25" customHeight="1" x14ac:dyDescent="0.3">
      <c r="A165" s="1">
        <v>164</v>
      </c>
      <c r="B165" s="1" t="s">
        <v>214</v>
      </c>
      <c r="C165" s="1" t="s">
        <v>12</v>
      </c>
      <c r="D165" s="1" t="s">
        <v>29</v>
      </c>
      <c r="E165" s="2">
        <v>45332</v>
      </c>
      <c r="F165" s="4">
        <v>45340</v>
      </c>
      <c r="G165" s="1">
        <v>7</v>
      </c>
      <c r="H165" s="1">
        <v>626</v>
      </c>
      <c r="I165" s="1" t="s">
        <v>30</v>
      </c>
      <c r="J165" s="1" t="s">
        <v>24</v>
      </c>
      <c r="K165" s="1" t="s">
        <v>32</v>
      </c>
      <c r="L165" t="str">
        <f>TEXT(Table2[[#This Row],[Order Date]],"YYY")</f>
        <v>2024</v>
      </c>
      <c r="M165" t="str">
        <f>TEXT(Table2[[#This Row],[Order Date]],"MMM")</f>
        <v>Feb</v>
      </c>
      <c r="N165" t="str">
        <f>TEXT(Table2[[#This Row],[Order Date]],"DDD")</f>
        <v>Sat</v>
      </c>
      <c r="O165">
        <f>DATEDIF(Table2[[#This Row],[Order Date]],Table2[[#This Row],[Delivered Date]],"D")</f>
        <v>8</v>
      </c>
      <c r="P165" s="10">
        <f>ROUND(Table2[[#This Row],[Quantity]]*Table2[[#This Row],[Unit Price]]*VLOOKUP(Table2[[#This Row],[Product Name]],Table_1[#All],2,FALSE),0)</f>
        <v>2848</v>
      </c>
      <c r="Q165" s="10">
        <f>Table2[[#This Row],[Quantity]]*Table2[[#This Row],[Unit Price]]</f>
        <v>4382</v>
      </c>
      <c r="R165" s="10">
        <f>Table2[[#This Row],[Sales Revenue]]-Table2[[#This Row],[Total Cost After Product Percentage Calc]]</f>
        <v>1534</v>
      </c>
    </row>
    <row r="166" spans="1:18" ht="14.25" customHeight="1" x14ac:dyDescent="0.3">
      <c r="A166" s="1">
        <v>165</v>
      </c>
      <c r="B166" s="1" t="s">
        <v>215</v>
      </c>
      <c r="C166" s="1" t="s">
        <v>12</v>
      </c>
      <c r="D166" s="1" t="s">
        <v>100</v>
      </c>
      <c r="E166" s="2">
        <v>45606</v>
      </c>
      <c r="F166" s="4">
        <v>45620</v>
      </c>
      <c r="G166" s="1">
        <v>7</v>
      </c>
      <c r="H166" s="1">
        <v>291</v>
      </c>
      <c r="I166" s="1" t="s">
        <v>14</v>
      </c>
      <c r="J166" s="1" t="s">
        <v>36</v>
      </c>
      <c r="K166" s="1" t="s">
        <v>20</v>
      </c>
      <c r="L166" t="str">
        <f>TEXT(Table2[[#This Row],[Order Date]],"YYY")</f>
        <v>2024</v>
      </c>
      <c r="M166" t="str">
        <f>TEXT(Table2[[#This Row],[Order Date]],"MMM")</f>
        <v>Nov</v>
      </c>
      <c r="N166" t="str">
        <f>TEXT(Table2[[#This Row],[Order Date]],"DDD")</f>
        <v>Sun</v>
      </c>
      <c r="O166">
        <f>DATEDIF(Table2[[#This Row],[Order Date]],Table2[[#This Row],[Delivered Date]],"D")</f>
        <v>14</v>
      </c>
      <c r="P166" s="10">
        <f>ROUND(Table2[[#This Row],[Quantity]]*Table2[[#This Row],[Unit Price]]*VLOOKUP(Table2[[#This Row],[Product Name]],Table_1[#All],2,FALSE),0)</f>
        <v>1426</v>
      </c>
      <c r="Q166" s="10">
        <f>Table2[[#This Row],[Quantity]]*Table2[[#This Row],[Unit Price]]</f>
        <v>2037</v>
      </c>
      <c r="R166" s="10">
        <f>Table2[[#This Row],[Sales Revenue]]-Table2[[#This Row],[Total Cost After Product Percentage Calc]]</f>
        <v>611</v>
      </c>
    </row>
    <row r="167" spans="1:18" ht="14.25" customHeight="1" x14ac:dyDescent="0.3">
      <c r="A167" s="1">
        <v>166</v>
      </c>
      <c r="B167" s="1" t="s">
        <v>216</v>
      </c>
      <c r="C167" s="1" t="s">
        <v>26</v>
      </c>
      <c r="D167" s="1" t="s">
        <v>27</v>
      </c>
      <c r="E167" s="2">
        <v>45554</v>
      </c>
      <c r="F167" s="4">
        <v>45574</v>
      </c>
      <c r="G167" s="1">
        <v>3</v>
      </c>
      <c r="H167" s="1">
        <v>985</v>
      </c>
      <c r="I167" s="1" t="s">
        <v>30</v>
      </c>
      <c r="J167" s="1" t="s">
        <v>15</v>
      </c>
      <c r="K167" s="1" t="s">
        <v>32</v>
      </c>
      <c r="L167" t="str">
        <f>TEXT(Table2[[#This Row],[Order Date]],"YYY")</f>
        <v>2024</v>
      </c>
      <c r="M167" t="str">
        <f>TEXT(Table2[[#This Row],[Order Date]],"MMM")</f>
        <v>Sep</v>
      </c>
      <c r="N167" t="str">
        <f>TEXT(Table2[[#This Row],[Order Date]],"DDD")</f>
        <v>Thu</v>
      </c>
      <c r="O167">
        <f>DATEDIF(Table2[[#This Row],[Order Date]],Table2[[#This Row],[Delivered Date]],"D")</f>
        <v>20</v>
      </c>
      <c r="P167" s="10">
        <f>ROUND(Table2[[#This Row],[Quantity]]*Table2[[#This Row],[Unit Price]]*VLOOKUP(Table2[[#This Row],[Product Name]],Table_1[#All],2,FALSE),0)</f>
        <v>1625</v>
      </c>
      <c r="Q167" s="10">
        <f>Table2[[#This Row],[Quantity]]*Table2[[#This Row],[Unit Price]]</f>
        <v>2955</v>
      </c>
      <c r="R167" s="10">
        <f>Table2[[#This Row],[Sales Revenue]]-Table2[[#This Row],[Total Cost After Product Percentage Calc]]</f>
        <v>1330</v>
      </c>
    </row>
    <row r="168" spans="1:18" ht="14.25" customHeight="1" x14ac:dyDescent="0.3">
      <c r="A168" s="1">
        <v>167</v>
      </c>
      <c r="B168" s="1" t="s">
        <v>217</v>
      </c>
      <c r="C168" s="1" t="s">
        <v>18</v>
      </c>
      <c r="D168" s="1" t="s">
        <v>47</v>
      </c>
      <c r="E168" s="2">
        <v>45579</v>
      </c>
      <c r="F168" s="4">
        <v>45592</v>
      </c>
      <c r="G168" s="1">
        <v>2</v>
      </c>
      <c r="H168" s="1">
        <v>278</v>
      </c>
      <c r="I168" s="1" t="s">
        <v>30</v>
      </c>
      <c r="J168" s="1" t="s">
        <v>24</v>
      </c>
      <c r="K168" s="1" t="s">
        <v>16</v>
      </c>
      <c r="L168" t="str">
        <f>TEXT(Table2[[#This Row],[Order Date]],"YYY")</f>
        <v>2024</v>
      </c>
      <c r="M168" t="str">
        <f>TEXT(Table2[[#This Row],[Order Date]],"MMM")</f>
        <v>Oct</v>
      </c>
      <c r="N168" t="str">
        <f>TEXT(Table2[[#This Row],[Order Date]],"DDD")</f>
        <v>Mon</v>
      </c>
      <c r="O168">
        <f>DATEDIF(Table2[[#This Row],[Order Date]],Table2[[#This Row],[Delivered Date]],"D")</f>
        <v>13</v>
      </c>
      <c r="P168" s="10">
        <f>ROUND(Table2[[#This Row],[Quantity]]*Table2[[#This Row],[Unit Price]]*VLOOKUP(Table2[[#This Row],[Product Name]],Table_1[#All],2,FALSE),0)</f>
        <v>334</v>
      </c>
      <c r="Q168" s="10">
        <f>Table2[[#This Row],[Quantity]]*Table2[[#This Row],[Unit Price]]</f>
        <v>556</v>
      </c>
      <c r="R168" s="10">
        <f>Table2[[#This Row],[Sales Revenue]]-Table2[[#This Row],[Total Cost After Product Percentage Calc]]</f>
        <v>222</v>
      </c>
    </row>
    <row r="169" spans="1:18" ht="14.25" customHeight="1" x14ac:dyDescent="0.3">
      <c r="A169" s="1">
        <v>168</v>
      </c>
      <c r="B169" s="1" t="s">
        <v>218</v>
      </c>
      <c r="C169" s="1" t="s">
        <v>26</v>
      </c>
      <c r="D169" s="1" t="s">
        <v>104</v>
      </c>
      <c r="E169" s="2">
        <v>45605</v>
      </c>
      <c r="F169" s="4">
        <v>45612</v>
      </c>
      <c r="G169" s="1">
        <v>5</v>
      </c>
      <c r="H169" s="1">
        <v>720</v>
      </c>
      <c r="I169" s="1" t="s">
        <v>14</v>
      </c>
      <c r="J169" s="1" t="s">
        <v>31</v>
      </c>
      <c r="K169" s="1" t="s">
        <v>20</v>
      </c>
      <c r="L169" t="str">
        <f>TEXT(Table2[[#This Row],[Order Date]],"YYY")</f>
        <v>2024</v>
      </c>
      <c r="M169" t="str">
        <f>TEXT(Table2[[#This Row],[Order Date]],"MMM")</f>
        <v>Nov</v>
      </c>
      <c r="N169" t="str">
        <f>TEXT(Table2[[#This Row],[Order Date]],"DDD")</f>
        <v>Sat</v>
      </c>
      <c r="O169">
        <f>DATEDIF(Table2[[#This Row],[Order Date]],Table2[[#This Row],[Delivered Date]],"D")</f>
        <v>7</v>
      </c>
      <c r="P169" s="10">
        <f>ROUND(Table2[[#This Row],[Quantity]]*Table2[[#This Row],[Unit Price]]*VLOOKUP(Table2[[#This Row],[Product Name]],Table_1[#All],2,FALSE),0)</f>
        <v>2160</v>
      </c>
      <c r="Q169" s="10">
        <f>Table2[[#This Row],[Quantity]]*Table2[[#This Row],[Unit Price]]</f>
        <v>3600</v>
      </c>
      <c r="R169" s="10">
        <f>Table2[[#This Row],[Sales Revenue]]-Table2[[#This Row],[Total Cost After Product Percentage Calc]]</f>
        <v>1440</v>
      </c>
    </row>
    <row r="170" spans="1:18" ht="14.25" customHeight="1" x14ac:dyDescent="0.3">
      <c r="A170" s="1">
        <v>169</v>
      </c>
      <c r="B170" s="1" t="s">
        <v>219</v>
      </c>
      <c r="C170" s="1" t="s">
        <v>22</v>
      </c>
      <c r="D170" s="1" t="s">
        <v>43</v>
      </c>
      <c r="E170" s="2">
        <v>45523</v>
      </c>
      <c r="F170" s="4">
        <v>45536</v>
      </c>
      <c r="G170" s="1">
        <v>3</v>
      </c>
      <c r="H170" s="1">
        <v>930</v>
      </c>
      <c r="I170" s="1" t="s">
        <v>14</v>
      </c>
      <c r="J170" s="1" t="s">
        <v>36</v>
      </c>
      <c r="K170" s="1" t="s">
        <v>32</v>
      </c>
      <c r="L170" t="str">
        <f>TEXT(Table2[[#This Row],[Order Date]],"YYY")</f>
        <v>2024</v>
      </c>
      <c r="M170" t="str">
        <f>TEXT(Table2[[#This Row],[Order Date]],"MMM")</f>
        <v>Aug</v>
      </c>
      <c r="N170" t="str">
        <f>TEXT(Table2[[#This Row],[Order Date]],"DDD")</f>
        <v>Mon</v>
      </c>
      <c r="O170">
        <f>DATEDIF(Table2[[#This Row],[Order Date]],Table2[[#This Row],[Delivered Date]],"D")</f>
        <v>13</v>
      </c>
      <c r="P170" s="10">
        <f>ROUND(Table2[[#This Row],[Quantity]]*Table2[[#This Row],[Unit Price]]*VLOOKUP(Table2[[#This Row],[Product Name]],Table_1[#All],2,FALSE),0)</f>
        <v>1814</v>
      </c>
      <c r="Q170" s="10">
        <f>Table2[[#This Row],[Quantity]]*Table2[[#This Row],[Unit Price]]</f>
        <v>2790</v>
      </c>
      <c r="R170" s="10">
        <f>Table2[[#This Row],[Sales Revenue]]-Table2[[#This Row],[Total Cost After Product Percentage Calc]]</f>
        <v>976</v>
      </c>
    </row>
    <row r="171" spans="1:18" ht="14.25" customHeight="1" x14ac:dyDescent="0.3">
      <c r="A171" s="1">
        <v>170</v>
      </c>
      <c r="B171" s="1" t="s">
        <v>220</v>
      </c>
      <c r="C171" s="1" t="s">
        <v>22</v>
      </c>
      <c r="D171" s="1" t="s">
        <v>58</v>
      </c>
      <c r="E171" s="2">
        <v>45477</v>
      </c>
      <c r="F171" s="4">
        <v>45490</v>
      </c>
      <c r="G171" s="1">
        <v>9</v>
      </c>
      <c r="H171" s="1">
        <v>239</v>
      </c>
      <c r="I171" s="1" t="s">
        <v>14</v>
      </c>
      <c r="J171" s="1" t="s">
        <v>15</v>
      </c>
      <c r="K171" s="1" t="s">
        <v>32</v>
      </c>
      <c r="L171" t="str">
        <f>TEXT(Table2[[#This Row],[Order Date]],"YYY")</f>
        <v>2024</v>
      </c>
      <c r="M171" t="str">
        <f>TEXT(Table2[[#This Row],[Order Date]],"MMM")</f>
        <v>Jul</v>
      </c>
      <c r="N171" t="str">
        <f>TEXT(Table2[[#This Row],[Order Date]],"DDD")</f>
        <v>Thu</v>
      </c>
      <c r="O171">
        <f>DATEDIF(Table2[[#This Row],[Order Date]],Table2[[#This Row],[Delivered Date]],"D")</f>
        <v>13</v>
      </c>
      <c r="P171" s="10">
        <f>ROUND(Table2[[#This Row],[Quantity]]*Table2[[#This Row],[Unit Price]]*VLOOKUP(Table2[[#This Row],[Product Name]],Table_1[#All],2,FALSE),0)</f>
        <v>1506</v>
      </c>
      <c r="Q171" s="10">
        <f>Table2[[#This Row],[Quantity]]*Table2[[#This Row],[Unit Price]]</f>
        <v>2151</v>
      </c>
      <c r="R171" s="10">
        <f>Table2[[#This Row],[Sales Revenue]]-Table2[[#This Row],[Total Cost After Product Percentage Calc]]</f>
        <v>645</v>
      </c>
    </row>
    <row r="172" spans="1:18" ht="14.25" customHeight="1" x14ac:dyDescent="0.3">
      <c r="A172" s="1">
        <v>171</v>
      </c>
      <c r="B172" s="1" t="s">
        <v>221</v>
      </c>
      <c r="C172" s="1" t="s">
        <v>18</v>
      </c>
      <c r="D172" s="1" t="s">
        <v>68</v>
      </c>
      <c r="E172" s="2">
        <v>45605</v>
      </c>
      <c r="F172" s="4">
        <v>45618</v>
      </c>
      <c r="G172" s="1">
        <v>2</v>
      </c>
      <c r="H172" s="1">
        <v>77</v>
      </c>
      <c r="I172" s="1" t="s">
        <v>30</v>
      </c>
      <c r="J172" s="1" t="s">
        <v>52</v>
      </c>
      <c r="K172" s="1" t="s">
        <v>20</v>
      </c>
      <c r="L172" t="str">
        <f>TEXT(Table2[[#This Row],[Order Date]],"YYY")</f>
        <v>2024</v>
      </c>
      <c r="M172" t="str">
        <f>TEXT(Table2[[#This Row],[Order Date]],"MMM")</f>
        <v>Nov</v>
      </c>
      <c r="N172" t="str">
        <f>TEXT(Table2[[#This Row],[Order Date]],"DDD")</f>
        <v>Sat</v>
      </c>
      <c r="O172">
        <f>DATEDIF(Table2[[#This Row],[Order Date]],Table2[[#This Row],[Delivered Date]],"D")</f>
        <v>13</v>
      </c>
      <c r="P172" s="10">
        <f>ROUND(Table2[[#This Row],[Quantity]]*Table2[[#This Row],[Unit Price]]*VLOOKUP(Table2[[#This Row],[Product Name]],Table_1[#All],2,FALSE),0)</f>
        <v>77</v>
      </c>
      <c r="Q172" s="10">
        <f>Table2[[#This Row],[Quantity]]*Table2[[#This Row],[Unit Price]]</f>
        <v>154</v>
      </c>
      <c r="R172" s="10">
        <f>Table2[[#This Row],[Sales Revenue]]-Table2[[#This Row],[Total Cost After Product Percentage Calc]]</f>
        <v>77</v>
      </c>
    </row>
    <row r="173" spans="1:18" ht="14.25" customHeight="1" x14ac:dyDescent="0.3">
      <c r="A173" s="1">
        <v>172</v>
      </c>
      <c r="B173" s="1" t="s">
        <v>222</v>
      </c>
      <c r="C173" s="1" t="s">
        <v>26</v>
      </c>
      <c r="D173" s="1" t="s">
        <v>74</v>
      </c>
      <c r="E173" s="2">
        <v>45502</v>
      </c>
      <c r="F173" s="4">
        <v>45512</v>
      </c>
      <c r="G173" s="1">
        <v>7</v>
      </c>
      <c r="H173" s="1">
        <v>853</v>
      </c>
      <c r="I173" s="1" t="s">
        <v>14</v>
      </c>
      <c r="J173" s="1" t="s">
        <v>36</v>
      </c>
      <c r="K173" s="1" t="s">
        <v>16</v>
      </c>
      <c r="L173" t="str">
        <f>TEXT(Table2[[#This Row],[Order Date]],"YYY")</f>
        <v>2024</v>
      </c>
      <c r="M173" t="str">
        <f>TEXT(Table2[[#This Row],[Order Date]],"MMM")</f>
        <v>Jul</v>
      </c>
      <c r="N173" t="str">
        <f>TEXT(Table2[[#This Row],[Order Date]],"DDD")</f>
        <v>Mon</v>
      </c>
      <c r="O173">
        <f>DATEDIF(Table2[[#This Row],[Order Date]],Table2[[#This Row],[Delivered Date]],"D")</f>
        <v>10</v>
      </c>
      <c r="P173" s="10">
        <f>ROUND(Table2[[#This Row],[Quantity]]*Table2[[#This Row],[Unit Price]]*VLOOKUP(Table2[[#This Row],[Product Name]],Table_1[#All],2,FALSE),0)</f>
        <v>3284</v>
      </c>
      <c r="Q173" s="10">
        <f>Table2[[#This Row],[Quantity]]*Table2[[#This Row],[Unit Price]]</f>
        <v>5971</v>
      </c>
      <c r="R173" s="10">
        <f>Table2[[#This Row],[Sales Revenue]]-Table2[[#This Row],[Total Cost After Product Percentage Calc]]</f>
        <v>2687</v>
      </c>
    </row>
    <row r="174" spans="1:18" ht="14.25" customHeight="1" x14ac:dyDescent="0.3">
      <c r="A174" s="1">
        <v>173</v>
      </c>
      <c r="B174" s="1" t="s">
        <v>223</v>
      </c>
      <c r="C174" s="1" t="s">
        <v>34</v>
      </c>
      <c r="D174" s="1" t="s">
        <v>80</v>
      </c>
      <c r="E174" s="2">
        <v>45522</v>
      </c>
      <c r="F174" s="4">
        <v>45529</v>
      </c>
      <c r="G174" s="1">
        <v>8</v>
      </c>
      <c r="H174" s="1">
        <v>706</v>
      </c>
      <c r="I174" s="1" t="s">
        <v>14</v>
      </c>
      <c r="J174" s="1" t="s">
        <v>36</v>
      </c>
      <c r="K174" s="1" t="s">
        <v>16</v>
      </c>
      <c r="L174" t="str">
        <f>TEXT(Table2[[#This Row],[Order Date]],"YYY")</f>
        <v>2024</v>
      </c>
      <c r="M174" t="str">
        <f>TEXT(Table2[[#This Row],[Order Date]],"MMM")</f>
        <v>Aug</v>
      </c>
      <c r="N174" t="str">
        <f>TEXT(Table2[[#This Row],[Order Date]],"DDD")</f>
        <v>Sun</v>
      </c>
      <c r="O174">
        <f>DATEDIF(Table2[[#This Row],[Order Date]],Table2[[#This Row],[Delivered Date]],"D")</f>
        <v>7</v>
      </c>
      <c r="P174" s="10">
        <f>ROUND(Table2[[#This Row],[Quantity]]*Table2[[#This Row],[Unit Price]]*VLOOKUP(Table2[[#This Row],[Product Name]],Table_1[#All],2,FALSE),0)</f>
        <v>4236</v>
      </c>
      <c r="Q174" s="10">
        <f>Table2[[#This Row],[Quantity]]*Table2[[#This Row],[Unit Price]]</f>
        <v>5648</v>
      </c>
      <c r="R174" s="10">
        <f>Table2[[#This Row],[Sales Revenue]]-Table2[[#This Row],[Total Cost After Product Percentage Calc]]</f>
        <v>1412</v>
      </c>
    </row>
    <row r="175" spans="1:18" ht="14.25" customHeight="1" x14ac:dyDescent="0.3">
      <c r="A175" s="1">
        <v>174</v>
      </c>
      <c r="B175" s="1" t="s">
        <v>224</v>
      </c>
      <c r="C175" s="1" t="s">
        <v>18</v>
      </c>
      <c r="D175" s="1" t="s">
        <v>64</v>
      </c>
      <c r="E175" s="2">
        <v>45385</v>
      </c>
      <c r="F175" s="4">
        <v>45393</v>
      </c>
      <c r="G175" s="1">
        <v>3</v>
      </c>
      <c r="H175" s="1">
        <v>453</v>
      </c>
      <c r="I175" s="1" t="s">
        <v>14</v>
      </c>
      <c r="J175" s="1" t="s">
        <v>36</v>
      </c>
      <c r="K175" s="1" t="s">
        <v>32</v>
      </c>
      <c r="L175" t="str">
        <f>TEXT(Table2[[#This Row],[Order Date]],"YYY")</f>
        <v>2024</v>
      </c>
      <c r="M175" t="str">
        <f>TEXT(Table2[[#This Row],[Order Date]],"MMM")</f>
        <v>Apr</v>
      </c>
      <c r="N175" t="str">
        <f>TEXT(Table2[[#This Row],[Order Date]],"DDD")</f>
        <v>Wed</v>
      </c>
      <c r="O175">
        <f>DATEDIF(Table2[[#This Row],[Order Date]],Table2[[#This Row],[Delivered Date]],"D")</f>
        <v>8</v>
      </c>
      <c r="P175" s="10">
        <f>ROUND(Table2[[#This Row],[Quantity]]*Table2[[#This Row],[Unit Price]]*VLOOKUP(Table2[[#This Row],[Product Name]],Table_1[#All],2,FALSE),0)</f>
        <v>883</v>
      </c>
      <c r="Q175" s="10">
        <f>Table2[[#This Row],[Quantity]]*Table2[[#This Row],[Unit Price]]</f>
        <v>1359</v>
      </c>
      <c r="R175" s="10">
        <f>Table2[[#This Row],[Sales Revenue]]-Table2[[#This Row],[Total Cost After Product Percentage Calc]]</f>
        <v>476</v>
      </c>
    </row>
    <row r="176" spans="1:18" ht="14.25" customHeight="1" x14ac:dyDescent="0.3">
      <c r="A176" s="1">
        <v>175</v>
      </c>
      <c r="B176" s="1" t="s">
        <v>225</v>
      </c>
      <c r="C176" s="1" t="s">
        <v>22</v>
      </c>
      <c r="D176" s="1" t="s">
        <v>87</v>
      </c>
      <c r="E176" s="2">
        <v>45606</v>
      </c>
      <c r="F176" s="4">
        <v>45614</v>
      </c>
      <c r="G176" s="1">
        <v>9</v>
      </c>
      <c r="H176" s="1">
        <v>105</v>
      </c>
      <c r="I176" s="1" t="s">
        <v>30</v>
      </c>
      <c r="J176" s="1" t="s">
        <v>36</v>
      </c>
      <c r="K176" s="1" t="s">
        <v>32</v>
      </c>
      <c r="L176" t="str">
        <f>TEXT(Table2[[#This Row],[Order Date]],"YYY")</f>
        <v>2024</v>
      </c>
      <c r="M176" t="str">
        <f>TEXT(Table2[[#This Row],[Order Date]],"MMM")</f>
        <v>Nov</v>
      </c>
      <c r="N176" t="str">
        <f>TEXT(Table2[[#This Row],[Order Date]],"DDD")</f>
        <v>Sun</v>
      </c>
      <c r="O176">
        <f>DATEDIF(Table2[[#This Row],[Order Date]],Table2[[#This Row],[Delivered Date]],"D")</f>
        <v>8</v>
      </c>
      <c r="P176" s="10">
        <f>ROUND(Table2[[#This Row],[Quantity]]*Table2[[#This Row],[Unit Price]]*VLOOKUP(Table2[[#This Row],[Product Name]],Table_1[#All],2,FALSE),0)</f>
        <v>756</v>
      </c>
      <c r="Q176" s="10">
        <f>Table2[[#This Row],[Quantity]]*Table2[[#This Row],[Unit Price]]</f>
        <v>945</v>
      </c>
      <c r="R176" s="10">
        <f>Table2[[#This Row],[Sales Revenue]]-Table2[[#This Row],[Total Cost After Product Percentage Calc]]</f>
        <v>189</v>
      </c>
    </row>
    <row r="177" spans="1:18" ht="14.25" customHeight="1" x14ac:dyDescent="0.3">
      <c r="A177" s="1">
        <v>176</v>
      </c>
      <c r="B177" s="1" t="s">
        <v>226</v>
      </c>
      <c r="C177" s="1" t="s">
        <v>18</v>
      </c>
      <c r="D177" s="1" t="s">
        <v>68</v>
      </c>
      <c r="E177" s="2">
        <v>45379</v>
      </c>
      <c r="F177" s="4">
        <v>45390</v>
      </c>
      <c r="G177" s="1">
        <v>10</v>
      </c>
      <c r="H177" s="1">
        <v>747</v>
      </c>
      <c r="I177" s="1" t="s">
        <v>30</v>
      </c>
      <c r="J177" s="1" t="s">
        <v>36</v>
      </c>
      <c r="K177" s="1" t="s">
        <v>32</v>
      </c>
      <c r="L177" t="str">
        <f>TEXT(Table2[[#This Row],[Order Date]],"YYY")</f>
        <v>2024</v>
      </c>
      <c r="M177" t="str">
        <f>TEXT(Table2[[#This Row],[Order Date]],"MMM")</f>
        <v>Mar</v>
      </c>
      <c r="N177" t="str">
        <f>TEXT(Table2[[#This Row],[Order Date]],"DDD")</f>
        <v>Thu</v>
      </c>
      <c r="O177">
        <f>DATEDIF(Table2[[#This Row],[Order Date]],Table2[[#This Row],[Delivered Date]],"D")</f>
        <v>11</v>
      </c>
      <c r="P177" s="10">
        <f>ROUND(Table2[[#This Row],[Quantity]]*Table2[[#This Row],[Unit Price]]*VLOOKUP(Table2[[#This Row],[Product Name]],Table_1[#All],2,FALSE),0)</f>
        <v>3735</v>
      </c>
      <c r="Q177" s="10">
        <f>Table2[[#This Row],[Quantity]]*Table2[[#This Row],[Unit Price]]</f>
        <v>7470</v>
      </c>
      <c r="R177" s="10">
        <f>Table2[[#This Row],[Sales Revenue]]-Table2[[#This Row],[Total Cost After Product Percentage Calc]]</f>
        <v>3735</v>
      </c>
    </row>
    <row r="178" spans="1:18" ht="14.25" customHeight="1" x14ac:dyDescent="0.3">
      <c r="A178" s="1">
        <v>177</v>
      </c>
      <c r="B178" s="1" t="s">
        <v>227</v>
      </c>
      <c r="C178" s="1" t="s">
        <v>22</v>
      </c>
      <c r="D178" s="1" t="s">
        <v>56</v>
      </c>
      <c r="E178" s="2">
        <v>45505</v>
      </c>
      <c r="F178" s="4">
        <v>45515</v>
      </c>
      <c r="G178" s="1">
        <v>10</v>
      </c>
      <c r="H178" s="1">
        <v>664</v>
      </c>
      <c r="I178" s="1" t="s">
        <v>30</v>
      </c>
      <c r="J178" s="1" t="s">
        <v>15</v>
      </c>
      <c r="K178" s="1" t="s">
        <v>49</v>
      </c>
      <c r="L178" t="str">
        <f>TEXT(Table2[[#This Row],[Order Date]],"YYY")</f>
        <v>2024</v>
      </c>
      <c r="M178" t="str">
        <f>TEXT(Table2[[#This Row],[Order Date]],"MMM")</f>
        <v>Aug</v>
      </c>
      <c r="N178" t="str">
        <f>TEXT(Table2[[#This Row],[Order Date]],"DDD")</f>
        <v>Thu</v>
      </c>
      <c r="O178">
        <f>DATEDIF(Table2[[#This Row],[Order Date]],Table2[[#This Row],[Delivered Date]],"D")</f>
        <v>10</v>
      </c>
      <c r="P178" s="10">
        <f>ROUND(Table2[[#This Row],[Quantity]]*Table2[[#This Row],[Unit Price]]*VLOOKUP(Table2[[#This Row],[Product Name]],Table_1[#All],2,FALSE),0)</f>
        <v>4648</v>
      </c>
      <c r="Q178" s="10">
        <f>Table2[[#This Row],[Quantity]]*Table2[[#This Row],[Unit Price]]</f>
        <v>6640</v>
      </c>
      <c r="R178" s="10">
        <f>Table2[[#This Row],[Sales Revenue]]-Table2[[#This Row],[Total Cost After Product Percentage Calc]]</f>
        <v>1992</v>
      </c>
    </row>
    <row r="179" spans="1:18" ht="14.25" customHeight="1" x14ac:dyDescent="0.3">
      <c r="A179" s="1">
        <v>178</v>
      </c>
      <c r="B179" s="1" t="s">
        <v>228</v>
      </c>
      <c r="C179" s="1" t="s">
        <v>26</v>
      </c>
      <c r="D179" s="1" t="s">
        <v>104</v>
      </c>
      <c r="E179" s="2">
        <v>45466</v>
      </c>
      <c r="F179" s="4">
        <v>45470</v>
      </c>
      <c r="G179" s="1">
        <v>10</v>
      </c>
      <c r="H179" s="1">
        <v>157</v>
      </c>
      <c r="I179" s="1" t="s">
        <v>30</v>
      </c>
      <c r="J179" s="1" t="s">
        <v>52</v>
      </c>
      <c r="K179" s="1" t="s">
        <v>49</v>
      </c>
      <c r="L179" t="str">
        <f>TEXT(Table2[[#This Row],[Order Date]],"YYY")</f>
        <v>2024</v>
      </c>
      <c r="M179" t="str">
        <f>TEXT(Table2[[#This Row],[Order Date]],"MMM")</f>
        <v>Jun</v>
      </c>
      <c r="N179" t="str">
        <f>TEXT(Table2[[#This Row],[Order Date]],"DDD")</f>
        <v>Sun</v>
      </c>
      <c r="O179">
        <f>DATEDIF(Table2[[#This Row],[Order Date]],Table2[[#This Row],[Delivered Date]],"D")</f>
        <v>4</v>
      </c>
      <c r="P179" s="10">
        <f>ROUND(Table2[[#This Row],[Quantity]]*Table2[[#This Row],[Unit Price]]*VLOOKUP(Table2[[#This Row],[Product Name]],Table_1[#All],2,FALSE),0)</f>
        <v>942</v>
      </c>
      <c r="Q179" s="10">
        <f>Table2[[#This Row],[Quantity]]*Table2[[#This Row],[Unit Price]]</f>
        <v>1570</v>
      </c>
      <c r="R179" s="10">
        <f>Table2[[#This Row],[Sales Revenue]]-Table2[[#This Row],[Total Cost After Product Percentage Calc]]</f>
        <v>628</v>
      </c>
    </row>
    <row r="180" spans="1:18" ht="14.25" customHeight="1" x14ac:dyDescent="0.3">
      <c r="A180" s="1">
        <v>179</v>
      </c>
      <c r="B180" s="1" t="s">
        <v>229</v>
      </c>
      <c r="C180" s="1" t="s">
        <v>22</v>
      </c>
      <c r="D180" s="1" t="s">
        <v>23</v>
      </c>
      <c r="E180" s="2">
        <v>45354</v>
      </c>
      <c r="F180" s="4">
        <v>45366</v>
      </c>
      <c r="G180" s="1">
        <v>5</v>
      </c>
      <c r="H180" s="1">
        <v>470</v>
      </c>
      <c r="I180" s="1" t="s">
        <v>14</v>
      </c>
      <c r="J180" s="1" t="s">
        <v>15</v>
      </c>
      <c r="K180" s="1" t="s">
        <v>49</v>
      </c>
      <c r="L180" t="str">
        <f>TEXT(Table2[[#This Row],[Order Date]],"YYY")</f>
        <v>2024</v>
      </c>
      <c r="M180" t="str">
        <f>TEXT(Table2[[#This Row],[Order Date]],"MMM")</f>
        <v>Mar</v>
      </c>
      <c r="N180" t="str">
        <f>TEXT(Table2[[#This Row],[Order Date]],"DDD")</f>
        <v>Sun</v>
      </c>
      <c r="O180">
        <f>DATEDIF(Table2[[#This Row],[Order Date]],Table2[[#This Row],[Delivered Date]],"D")</f>
        <v>12</v>
      </c>
      <c r="P180" s="10">
        <f>ROUND(Table2[[#This Row],[Quantity]]*Table2[[#This Row],[Unit Price]]*VLOOKUP(Table2[[#This Row],[Product Name]],Table_1[#All],2,FALSE),0)</f>
        <v>1763</v>
      </c>
      <c r="Q180" s="10">
        <f>Table2[[#This Row],[Quantity]]*Table2[[#This Row],[Unit Price]]</f>
        <v>2350</v>
      </c>
      <c r="R180" s="10">
        <f>Table2[[#This Row],[Sales Revenue]]-Table2[[#This Row],[Total Cost After Product Percentage Calc]]</f>
        <v>587</v>
      </c>
    </row>
    <row r="181" spans="1:18" ht="14.25" customHeight="1" x14ac:dyDescent="0.3">
      <c r="A181" s="1">
        <v>180</v>
      </c>
      <c r="B181" s="1" t="s">
        <v>230</v>
      </c>
      <c r="C181" s="1" t="s">
        <v>22</v>
      </c>
      <c r="D181" s="1" t="s">
        <v>87</v>
      </c>
      <c r="E181" s="2">
        <v>45479</v>
      </c>
      <c r="F181" s="4">
        <v>45489</v>
      </c>
      <c r="G181" s="1">
        <v>7</v>
      </c>
      <c r="H181" s="1">
        <v>384</v>
      </c>
      <c r="I181" s="1" t="s">
        <v>14</v>
      </c>
      <c r="J181" s="1" t="s">
        <v>15</v>
      </c>
      <c r="K181" s="1" t="s">
        <v>16</v>
      </c>
      <c r="L181" t="str">
        <f>TEXT(Table2[[#This Row],[Order Date]],"YYY")</f>
        <v>2024</v>
      </c>
      <c r="M181" t="str">
        <f>TEXT(Table2[[#This Row],[Order Date]],"MMM")</f>
        <v>Jul</v>
      </c>
      <c r="N181" t="str">
        <f>TEXT(Table2[[#This Row],[Order Date]],"DDD")</f>
        <v>Sat</v>
      </c>
      <c r="O181">
        <f>DATEDIF(Table2[[#This Row],[Order Date]],Table2[[#This Row],[Delivered Date]],"D")</f>
        <v>10</v>
      </c>
      <c r="P181" s="10">
        <f>ROUND(Table2[[#This Row],[Quantity]]*Table2[[#This Row],[Unit Price]]*VLOOKUP(Table2[[#This Row],[Product Name]],Table_1[#All],2,FALSE),0)</f>
        <v>2150</v>
      </c>
      <c r="Q181" s="10">
        <f>Table2[[#This Row],[Quantity]]*Table2[[#This Row],[Unit Price]]</f>
        <v>2688</v>
      </c>
      <c r="R181" s="10">
        <f>Table2[[#This Row],[Sales Revenue]]-Table2[[#This Row],[Total Cost After Product Percentage Calc]]</f>
        <v>538</v>
      </c>
    </row>
    <row r="182" spans="1:18" ht="14.25" customHeight="1" x14ac:dyDescent="0.3">
      <c r="A182" s="1">
        <v>181</v>
      </c>
      <c r="B182" s="1" t="s">
        <v>231</v>
      </c>
      <c r="C182" s="1" t="s">
        <v>18</v>
      </c>
      <c r="D182" s="1" t="s">
        <v>47</v>
      </c>
      <c r="E182" s="2">
        <v>45573</v>
      </c>
      <c r="F182" s="4">
        <v>45577</v>
      </c>
      <c r="G182" s="1">
        <v>5</v>
      </c>
      <c r="H182" s="1">
        <v>855</v>
      </c>
      <c r="I182" s="1" t="s">
        <v>14</v>
      </c>
      <c r="J182" s="1" t="s">
        <v>36</v>
      </c>
      <c r="K182" s="1" t="s">
        <v>32</v>
      </c>
      <c r="L182" t="str">
        <f>TEXT(Table2[[#This Row],[Order Date]],"YYY")</f>
        <v>2024</v>
      </c>
      <c r="M182" t="str">
        <f>TEXT(Table2[[#This Row],[Order Date]],"MMM")</f>
        <v>Oct</v>
      </c>
      <c r="N182" t="str">
        <f>TEXT(Table2[[#This Row],[Order Date]],"DDD")</f>
        <v>Tue</v>
      </c>
      <c r="O182">
        <f>DATEDIF(Table2[[#This Row],[Order Date]],Table2[[#This Row],[Delivered Date]],"D")</f>
        <v>4</v>
      </c>
      <c r="P182" s="10">
        <f>ROUND(Table2[[#This Row],[Quantity]]*Table2[[#This Row],[Unit Price]]*VLOOKUP(Table2[[#This Row],[Product Name]],Table_1[#All],2,FALSE),0)</f>
        <v>2565</v>
      </c>
      <c r="Q182" s="10">
        <f>Table2[[#This Row],[Quantity]]*Table2[[#This Row],[Unit Price]]</f>
        <v>4275</v>
      </c>
      <c r="R182" s="10">
        <f>Table2[[#This Row],[Sales Revenue]]-Table2[[#This Row],[Total Cost After Product Percentage Calc]]</f>
        <v>1710</v>
      </c>
    </row>
    <row r="183" spans="1:18" ht="14.25" customHeight="1" x14ac:dyDescent="0.3">
      <c r="A183" s="1">
        <v>182</v>
      </c>
      <c r="B183" s="1" t="s">
        <v>232</v>
      </c>
      <c r="C183" s="1" t="s">
        <v>22</v>
      </c>
      <c r="D183" s="1" t="s">
        <v>58</v>
      </c>
      <c r="E183" s="2">
        <v>45600</v>
      </c>
      <c r="F183" s="4">
        <v>45612</v>
      </c>
      <c r="G183" s="1">
        <v>9</v>
      </c>
      <c r="H183" s="1">
        <v>421</v>
      </c>
      <c r="I183" s="1" t="s">
        <v>14</v>
      </c>
      <c r="J183" s="1" t="s">
        <v>36</v>
      </c>
      <c r="K183" s="1" t="s">
        <v>16</v>
      </c>
      <c r="L183" t="str">
        <f>TEXT(Table2[[#This Row],[Order Date]],"YYY")</f>
        <v>2024</v>
      </c>
      <c r="M183" t="str">
        <f>TEXT(Table2[[#This Row],[Order Date]],"MMM")</f>
        <v>Nov</v>
      </c>
      <c r="N183" t="str">
        <f>TEXT(Table2[[#This Row],[Order Date]],"DDD")</f>
        <v>Mon</v>
      </c>
      <c r="O183">
        <f>DATEDIF(Table2[[#This Row],[Order Date]],Table2[[#This Row],[Delivered Date]],"D")</f>
        <v>12</v>
      </c>
      <c r="P183" s="10">
        <f>ROUND(Table2[[#This Row],[Quantity]]*Table2[[#This Row],[Unit Price]]*VLOOKUP(Table2[[#This Row],[Product Name]],Table_1[#All],2,FALSE),0)</f>
        <v>2652</v>
      </c>
      <c r="Q183" s="10">
        <f>Table2[[#This Row],[Quantity]]*Table2[[#This Row],[Unit Price]]</f>
        <v>3789</v>
      </c>
      <c r="R183" s="10">
        <f>Table2[[#This Row],[Sales Revenue]]-Table2[[#This Row],[Total Cost After Product Percentage Calc]]</f>
        <v>1137</v>
      </c>
    </row>
    <row r="184" spans="1:18" ht="14.25" customHeight="1" x14ac:dyDescent="0.3">
      <c r="A184" s="1">
        <v>183</v>
      </c>
      <c r="B184" s="1" t="s">
        <v>233</v>
      </c>
      <c r="C184" s="1" t="s">
        <v>22</v>
      </c>
      <c r="D184" s="1" t="s">
        <v>56</v>
      </c>
      <c r="E184" s="2">
        <v>45555</v>
      </c>
      <c r="F184" s="4">
        <v>45562</v>
      </c>
      <c r="G184" s="1">
        <v>3</v>
      </c>
      <c r="H184" s="1">
        <v>345</v>
      </c>
      <c r="I184" s="1" t="s">
        <v>14</v>
      </c>
      <c r="J184" s="1" t="s">
        <v>36</v>
      </c>
      <c r="K184" s="1" t="s">
        <v>49</v>
      </c>
      <c r="L184" t="str">
        <f>TEXT(Table2[[#This Row],[Order Date]],"YYY")</f>
        <v>2024</v>
      </c>
      <c r="M184" t="str">
        <f>TEXT(Table2[[#This Row],[Order Date]],"MMM")</f>
        <v>Sep</v>
      </c>
      <c r="N184" t="str">
        <f>TEXT(Table2[[#This Row],[Order Date]],"DDD")</f>
        <v>Fri</v>
      </c>
      <c r="O184">
        <f>DATEDIF(Table2[[#This Row],[Order Date]],Table2[[#This Row],[Delivered Date]],"D")</f>
        <v>7</v>
      </c>
      <c r="P184" s="10">
        <f>ROUND(Table2[[#This Row],[Quantity]]*Table2[[#This Row],[Unit Price]]*VLOOKUP(Table2[[#This Row],[Product Name]],Table_1[#All],2,FALSE),0)</f>
        <v>725</v>
      </c>
      <c r="Q184" s="10">
        <f>Table2[[#This Row],[Quantity]]*Table2[[#This Row],[Unit Price]]</f>
        <v>1035</v>
      </c>
      <c r="R184" s="10">
        <f>Table2[[#This Row],[Sales Revenue]]-Table2[[#This Row],[Total Cost After Product Percentage Calc]]</f>
        <v>310</v>
      </c>
    </row>
    <row r="185" spans="1:18" ht="14.25" customHeight="1" x14ac:dyDescent="0.3">
      <c r="A185" s="1">
        <v>184</v>
      </c>
      <c r="B185" s="1" t="s">
        <v>234</v>
      </c>
      <c r="C185" s="1" t="s">
        <v>26</v>
      </c>
      <c r="D185" s="1" t="s">
        <v>74</v>
      </c>
      <c r="E185" s="2">
        <v>45445</v>
      </c>
      <c r="F185" s="4">
        <v>45458</v>
      </c>
      <c r="G185" s="1">
        <v>10</v>
      </c>
      <c r="H185" s="1">
        <v>354</v>
      </c>
      <c r="I185" s="1" t="s">
        <v>30</v>
      </c>
      <c r="J185" s="1" t="s">
        <v>36</v>
      </c>
      <c r="K185" s="1" t="s">
        <v>49</v>
      </c>
      <c r="L185" t="str">
        <f>TEXT(Table2[[#This Row],[Order Date]],"YYY")</f>
        <v>2024</v>
      </c>
      <c r="M185" t="str">
        <f>TEXT(Table2[[#This Row],[Order Date]],"MMM")</f>
        <v>Jun</v>
      </c>
      <c r="N185" t="str">
        <f>TEXT(Table2[[#This Row],[Order Date]],"DDD")</f>
        <v>Sun</v>
      </c>
      <c r="O185">
        <f>DATEDIF(Table2[[#This Row],[Order Date]],Table2[[#This Row],[Delivered Date]],"D")</f>
        <v>13</v>
      </c>
      <c r="P185" s="10">
        <f>ROUND(Table2[[#This Row],[Quantity]]*Table2[[#This Row],[Unit Price]]*VLOOKUP(Table2[[#This Row],[Product Name]],Table_1[#All],2,FALSE),0)</f>
        <v>1947</v>
      </c>
      <c r="Q185" s="10">
        <f>Table2[[#This Row],[Quantity]]*Table2[[#This Row],[Unit Price]]</f>
        <v>3540</v>
      </c>
      <c r="R185" s="10">
        <f>Table2[[#This Row],[Sales Revenue]]-Table2[[#This Row],[Total Cost After Product Percentage Calc]]</f>
        <v>1593</v>
      </c>
    </row>
    <row r="186" spans="1:18" ht="14.25" customHeight="1" x14ac:dyDescent="0.3">
      <c r="A186" s="1">
        <v>185</v>
      </c>
      <c r="B186" s="1" t="s">
        <v>235</v>
      </c>
      <c r="C186" s="1" t="s">
        <v>12</v>
      </c>
      <c r="D186" s="1" t="s">
        <v>29</v>
      </c>
      <c r="E186" s="2">
        <v>45590</v>
      </c>
      <c r="F186" s="4">
        <v>45602</v>
      </c>
      <c r="G186" s="1">
        <v>5</v>
      </c>
      <c r="H186" s="1">
        <v>825</v>
      </c>
      <c r="I186" s="1" t="s">
        <v>30</v>
      </c>
      <c r="J186" s="1" t="s">
        <v>36</v>
      </c>
      <c r="K186" s="1" t="s">
        <v>16</v>
      </c>
      <c r="L186" t="str">
        <f>TEXT(Table2[[#This Row],[Order Date]],"YYY")</f>
        <v>2024</v>
      </c>
      <c r="M186" t="str">
        <f>TEXT(Table2[[#This Row],[Order Date]],"MMM")</f>
        <v>Oct</v>
      </c>
      <c r="N186" t="str">
        <f>TEXT(Table2[[#This Row],[Order Date]],"DDD")</f>
        <v>Fri</v>
      </c>
      <c r="O186">
        <f>DATEDIF(Table2[[#This Row],[Order Date]],Table2[[#This Row],[Delivered Date]],"D")</f>
        <v>12</v>
      </c>
      <c r="P186" s="10">
        <f>ROUND(Table2[[#This Row],[Quantity]]*Table2[[#This Row],[Unit Price]]*VLOOKUP(Table2[[#This Row],[Product Name]],Table_1[#All],2,FALSE),0)</f>
        <v>2681</v>
      </c>
      <c r="Q186" s="10">
        <f>Table2[[#This Row],[Quantity]]*Table2[[#This Row],[Unit Price]]</f>
        <v>4125</v>
      </c>
      <c r="R186" s="10">
        <f>Table2[[#This Row],[Sales Revenue]]-Table2[[#This Row],[Total Cost After Product Percentage Calc]]</f>
        <v>1444</v>
      </c>
    </row>
    <row r="187" spans="1:18" ht="14.25" customHeight="1" x14ac:dyDescent="0.3">
      <c r="A187" s="1">
        <v>186</v>
      </c>
      <c r="B187" s="1" t="s">
        <v>236</v>
      </c>
      <c r="C187" s="1" t="s">
        <v>26</v>
      </c>
      <c r="D187" s="1" t="s">
        <v>27</v>
      </c>
      <c r="E187" s="2">
        <v>45627</v>
      </c>
      <c r="F187" s="4">
        <v>45630</v>
      </c>
      <c r="G187" s="1">
        <v>10</v>
      </c>
      <c r="H187" s="1">
        <v>601</v>
      </c>
      <c r="I187" s="1" t="s">
        <v>30</v>
      </c>
      <c r="J187" s="1" t="s">
        <v>15</v>
      </c>
      <c r="K187" s="1" t="s">
        <v>16</v>
      </c>
      <c r="L187" t="str">
        <f>TEXT(Table2[[#This Row],[Order Date]],"YYY")</f>
        <v>2024</v>
      </c>
      <c r="M187" t="str">
        <f>TEXT(Table2[[#This Row],[Order Date]],"MMM")</f>
        <v>Dec</v>
      </c>
      <c r="N187" t="str">
        <f>TEXT(Table2[[#This Row],[Order Date]],"DDD")</f>
        <v>Sun</v>
      </c>
      <c r="O187">
        <f>DATEDIF(Table2[[#This Row],[Order Date]],Table2[[#This Row],[Delivered Date]],"D")</f>
        <v>3</v>
      </c>
      <c r="P187" s="10">
        <f>ROUND(Table2[[#This Row],[Quantity]]*Table2[[#This Row],[Unit Price]]*VLOOKUP(Table2[[#This Row],[Product Name]],Table_1[#All],2,FALSE),0)</f>
        <v>3306</v>
      </c>
      <c r="Q187" s="10">
        <f>Table2[[#This Row],[Quantity]]*Table2[[#This Row],[Unit Price]]</f>
        <v>6010</v>
      </c>
      <c r="R187" s="10">
        <f>Table2[[#This Row],[Sales Revenue]]-Table2[[#This Row],[Total Cost After Product Percentage Calc]]</f>
        <v>2704</v>
      </c>
    </row>
    <row r="188" spans="1:18" ht="14.25" customHeight="1" x14ac:dyDescent="0.3">
      <c r="A188" s="1">
        <v>187</v>
      </c>
      <c r="B188" s="1" t="s">
        <v>237</v>
      </c>
      <c r="C188" s="1" t="s">
        <v>26</v>
      </c>
      <c r="D188" s="1" t="s">
        <v>104</v>
      </c>
      <c r="E188" s="2">
        <v>45560</v>
      </c>
      <c r="F188" s="4">
        <v>45572</v>
      </c>
      <c r="G188" s="1">
        <v>10</v>
      </c>
      <c r="H188" s="1">
        <v>803</v>
      </c>
      <c r="I188" s="1" t="s">
        <v>14</v>
      </c>
      <c r="J188" s="1" t="s">
        <v>24</v>
      </c>
      <c r="K188" s="1" t="s">
        <v>49</v>
      </c>
      <c r="L188" t="str">
        <f>TEXT(Table2[[#This Row],[Order Date]],"YYY")</f>
        <v>2024</v>
      </c>
      <c r="M188" t="str">
        <f>TEXT(Table2[[#This Row],[Order Date]],"MMM")</f>
        <v>Sep</v>
      </c>
      <c r="N188" t="str">
        <f>TEXT(Table2[[#This Row],[Order Date]],"DDD")</f>
        <v>Wed</v>
      </c>
      <c r="O188">
        <f>DATEDIF(Table2[[#This Row],[Order Date]],Table2[[#This Row],[Delivered Date]],"D")</f>
        <v>12</v>
      </c>
      <c r="P188" s="10">
        <f>ROUND(Table2[[#This Row],[Quantity]]*Table2[[#This Row],[Unit Price]]*VLOOKUP(Table2[[#This Row],[Product Name]],Table_1[#All],2,FALSE),0)</f>
        <v>4818</v>
      </c>
      <c r="Q188" s="10">
        <f>Table2[[#This Row],[Quantity]]*Table2[[#This Row],[Unit Price]]</f>
        <v>8030</v>
      </c>
      <c r="R188" s="10">
        <f>Table2[[#This Row],[Sales Revenue]]-Table2[[#This Row],[Total Cost After Product Percentage Calc]]</f>
        <v>3212</v>
      </c>
    </row>
    <row r="189" spans="1:18" ht="14.25" customHeight="1" x14ac:dyDescent="0.3">
      <c r="A189" s="1">
        <v>188</v>
      </c>
      <c r="B189" s="1" t="s">
        <v>238</v>
      </c>
      <c r="C189" s="1" t="s">
        <v>12</v>
      </c>
      <c r="D189" s="1" t="s">
        <v>62</v>
      </c>
      <c r="E189" s="2">
        <v>45557</v>
      </c>
      <c r="F189" s="4">
        <v>45572</v>
      </c>
      <c r="G189" s="1">
        <v>4</v>
      </c>
      <c r="H189" s="1">
        <v>584</v>
      </c>
      <c r="I189" s="1" t="s">
        <v>30</v>
      </c>
      <c r="J189" s="1" t="s">
        <v>52</v>
      </c>
      <c r="K189" s="1" t="s">
        <v>16</v>
      </c>
      <c r="L189" t="str">
        <f>TEXT(Table2[[#This Row],[Order Date]],"YYY")</f>
        <v>2024</v>
      </c>
      <c r="M189" t="str">
        <f>TEXT(Table2[[#This Row],[Order Date]],"MMM")</f>
        <v>Sep</v>
      </c>
      <c r="N189" t="str">
        <f>TEXT(Table2[[#This Row],[Order Date]],"DDD")</f>
        <v>Sun</v>
      </c>
      <c r="O189">
        <f>DATEDIF(Table2[[#This Row],[Order Date]],Table2[[#This Row],[Delivered Date]],"D")</f>
        <v>15</v>
      </c>
      <c r="P189" s="10">
        <f>ROUND(Table2[[#This Row],[Quantity]]*Table2[[#This Row],[Unit Price]]*VLOOKUP(Table2[[#This Row],[Product Name]],Table_1[#All],2,FALSE),0)</f>
        <v>1986</v>
      </c>
      <c r="Q189" s="10">
        <f>Table2[[#This Row],[Quantity]]*Table2[[#This Row],[Unit Price]]</f>
        <v>2336</v>
      </c>
      <c r="R189" s="10">
        <f>Table2[[#This Row],[Sales Revenue]]-Table2[[#This Row],[Total Cost After Product Percentage Calc]]</f>
        <v>350</v>
      </c>
    </row>
    <row r="190" spans="1:18" ht="14.25" customHeight="1" x14ac:dyDescent="0.3">
      <c r="A190" s="1">
        <v>189</v>
      </c>
      <c r="B190" s="1" t="s">
        <v>239</v>
      </c>
      <c r="C190" s="1" t="s">
        <v>26</v>
      </c>
      <c r="D190" s="1" t="s">
        <v>27</v>
      </c>
      <c r="E190" s="2">
        <v>45380</v>
      </c>
      <c r="F190" s="4">
        <v>45385</v>
      </c>
      <c r="G190" s="1">
        <v>8</v>
      </c>
      <c r="H190" s="1">
        <v>944</v>
      </c>
      <c r="I190" s="1" t="s">
        <v>30</v>
      </c>
      <c r="J190" s="1" t="s">
        <v>36</v>
      </c>
      <c r="K190" s="1" t="s">
        <v>20</v>
      </c>
      <c r="L190" t="str">
        <f>TEXT(Table2[[#This Row],[Order Date]],"YYY")</f>
        <v>2024</v>
      </c>
      <c r="M190" t="str">
        <f>TEXT(Table2[[#This Row],[Order Date]],"MMM")</f>
        <v>Mar</v>
      </c>
      <c r="N190" t="str">
        <f>TEXT(Table2[[#This Row],[Order Date]],"DDD")</f>
        <v>Fri</v>
      </c>
      <c r="O190">
        <f>DATEDIF(Table2[[#This Row],[Order Date]],Table2[[#This Row],[Delivered Date]],"D")</f>
        <v>5</v>
      </c>
      <c r="P190" s="10">
        <f>ROUND(Table2[[#This Row],[Quantity]]*Table2[[#This Row],[Unit Price]]*VLOOKUP(Table2[[#This Row],[Product Name]],Table_1[#All],2,FALSE),0)</f>
        <v>4154</v>
      </c>
      <c r="Q190" s="10">
        <f>Table2[[#This Row],[Quantity]]*Table2[[#This Row],[Unit Price]]</f>
        <v>7552</v>
      </c>
      <c r="R190" s="10">
        <f>Table2[[#This Row],[Sales Revenue]]-Table2[[#This Row],[Total Cost After Product Percentage Calc]]</f>
        <v>3398</v>
      </c>
    </row>
    <row r="191" spans="1:18" ht="14.25" customHeight="1" x14ac:dyDescent="0.3">
      <c r="A191" s="1">
        <v>190</v>
      </c>
      <c r="B191" s="1" t="s">
        <v>240</v>
      </c>
      <c r="C191" s="1" t="s">
        <v>34</v>
      </c>
      <c r="D191" s="1" t="s">
        <v>83</v>
      </c>
      <c r="E191" s="2">
        <v>45604</v>
      </c>
      <c r="F191" s="4">
        <v>45616</v>
      </c>
      <c r="G191" s="1">
        <v>8</v>
      </c>
      <c r="H191" s="1">
        <v>206</v>
      </c>
      <c r="I191" s="1" t="s">
        <v>30</v>
      </c>
      <c r="J191" s="1" t="s">
        <v>15</v>
      </c>
      <c r="K191" s="1" t="s">
        <v>32</v>
      </c>
      <c r="L191" t="str">
        <f>TEXT(Table2[[#This Row],[Order Date]],"YYY")</f>
        <v>2024</v>
      </c>
      <c r="M191" t="str">
        <f>TEXT(Table2[[#This Row],[Order Date]],"MMM")</f>
        <v>Nov</v>
      </c>
      <c r="N191" t="str">
        <f>TEXT(Table2[[#This Row],[Order Date]],"DDD")</f>
        <v>Fri</v>
      </c>
      <c r="O191">
        <f>DATEDIF(Table2[[#This Row],[Order Date]],Table2[[#This Row],[Delivered Date]],"D")</f>
        <v>12</v>
      </c>
      <c r="P191" s="10">
        <f>ROUND(Table2[[#This Row],[Quantity]]*Table2[[#This Row],[Unit Price]]*VLOOKUP(Table2[[#This Row],[Product Name]],Table_1[#All],2,FALSE),0)</f>
        <v>1071</v>
      </c>
      <c r="Q191" s="10">
        <f>Table2[[#This Row],[Quantity]]*Table2[[#This Row],[Unit Price]]</f>
        <v>1648</v>
      </c>
      <c r="R191" s="10">
        <f>Table2[[#This Row],[Sales Revenue]]-Table2[[#This Row],[Total Cost After Product Percentage Calc]]</f>
        <v>577</v>
      </c>
    </row>
    <row r="192" spans="1:18" ht="14.25" customHeight="1" x14ac:dyDescent="0.3">
      <c r="A192" s="1">
        <v>191</v>
      </c>
      <c r="B192" s="1" t="s">
        <v>241</v>
      </c>
      <c r="C192" s="1" t="s">
        <v>26</v>
      </c>
      <c r="D192" s="1" t="s">
        <v>27</v>
      </c>
      <c r="E192" s="2">
        <v>45578</v>
      </c>
      <c r="F192" s="4">
        <v>45586</v>
      </c>
      <c r="G192" s="1">
        <v>5</v>
      </c>
      <c r="H192" s="1">
        <v>304</v>
      </c>
      <c r="I192" s="1" t="s">
        <v>30</v>
      </c>
      <c r="J192" s="1" t="s">
        <v>15</v>
      </c>
      <c r="K192" s="1" t="s">
        <v>49</v>
      </c>
      <c r="L192" t="str">
        <f>TEXT(Table2[[#This Row],[Order Date]],"YYY")</f>
        <v>2024</v>
      </c>
      <c r="M192" t="str">
        <f>TEXT(Table2[[#This Row],[Order Date]],"MMM")</f>
        <v>Oct</v>
      </c>
      <c r="N192" t="str">
        <f>TEXT(Table2[[#This Row],[Order Date]],"DDD")</f>
        <v>Sun</v>
      </c>
      <c r="O192">
        <f>DATEDIF(Table2[[#This Row],[Order Date]],Table2[[#This Row],[Delivered Date]],"D")</f>
        <v>8</v>
      </c>
      <c r="P192" s="10">
        <f>ROUND(Table2[[#This Row],[Quantity]]*Table2[[#This Row],[Unit Price]]*VLOOKUP(Table2[[#This Row],[Product Name]],Table_1[#All],2,FALSE),0)</f>
        <v>836</v>
      </c>
      <c r="Q192" s="10">
        <f>Table2[[#This Row],[Quantity]]*Table2[[#This Row],[Unit Price]]</f>
        <v>1520</v>
      </c>
      <c r="R192" s="10">
        <f>Table2[[#This Row],[Sales Revenue]]-Table2[[#This Row],[Total Cost After Product Percentage Calc]]</f>
        <v>684</v>
      </c>
    </row>
    <row r="193" spans="1:18" ht="14.25" customHeight="1" x14ac:dyDescent="0.3">
      <c r="A193" s="1">
        <v>192</v>
      </c>
      <c r="B193" s="1" t="s">
        <v>242</v>
      </c>
      <c r="C193" s="1" t="s">
        <v>12</v>
      </c>
      <c r="D193" s="1" t="s">
        <v>100</v>
      </c>
      <c r="E193" s="2">
        <v>45657</v>
      </c>
      <c r="F193" s="4">
        <v>45671</v>
      </c>
      <c r="G193" s="1">
        <v>2</v>
      </c>
      <c r="H193" s="1">
        <v>364</v>
      </c>
      <c r="I193" s="1" t="s">
        <v>30</v>
      </c>
      <c r="J193" s="1" t="s">
        <v>31</v>
      </c>
      <c r="K193" s="1" t="s">
        <v>32</v>
      </c>
      <c r="L193" t="str">
        <f>TEXT(Table2[[#This Row],[Order Date]],"YYY")</f>
        <v>2024</v>
      </c>
      <c r="M193" t="str">
        <f>TEXT(Table2[[#This Row],[Order Date]],"MMM")</f>
        <v>Dec</v>
      </c>
      <c r="N193" t="str">
        <f>TEXT(Table2[[#This Row],[Order Date]],"DDD")</f>
        <v>Tue</v>
      </c>
      <c r="O193">
        <f>DATEDIF(Table2[[#This Row],[Order Date]],Table2[[#This Row],[Delivered Date]],"D")</f>
        <v>14</v>
      </c>
      <c r="P193" s="10">
        <f>ROUND(Table2[[#This Row],[Quantity]]*Table2[[#This Row],[Unit Price]]*VLOOKUP(Table2[[#This Row],[Product Name]],Table_1[#All],2,FALSE),0)</f>
        <v>510</v>
      </c>
      <c r="Q193" s="10">
        <f>Table2[[#This Row],[Quantity]]*Table2[[#This Row],[Unit Price]]</f>
        <v>728</v>
      </c>
      <c r="R193" s="10">
        <f>Table2[[#This Row],[Sales Revenue]]-Table2[[#This Row],[Total Cost After Product Percentage Calc]]</f>
        <v>218</v>
      </c>
    </row>
    <row r="194" spans="1:18" ht="14.25" customHeight="1" x14ac:dyDescent="0.3">
      <c r="A194" s="1">
        <v>193</v>
      </c>
      <c r="B194" s="1" t="s">
        <v>243</v>
      </c>
      <c r="C194" s="1" t="s">
        <v>26</v>
      </c>
      <c r="D194" s="1" t="s">
        <v>104</v>
      </c>
      <c r="E194" s="2">
        <v>45395</v>
      </c>
      <c r="F194" s="4">
        <v>45408</v>
      </c>
      <c r="G194" s="1">
        <v>9</v>
      </c>
      <c r="H194" s="1">
        <v>287</v>
      </c>
      <c r="I194" s="1" t="s">
        <v>14</v>
      </c>
      <c r="J194" s="1" t="s">
        <v>36</v>
      </c>
      <c r="K194" s="1" t="s">
        <v>20</v>
      </c>
      <c r="L194" t="str">
        <f>TEXT(Table2[[#This Row],[Order Date]],"YYY")</f>
        <v>2024</v>
      </c>
      <c r="M194" t="str">
        <f>TEXT(Table2[[#This Row],[Order Date]],"MMM")</f>
        <v>Apr</v>
      </c>
      <c r="N194" t="str">
        <f>TEXT(Table2[[#This Row],[Order Date]],"DDD")</f>
        <v>Sat</v>
      </c>
      <c r="O194">
        <f>DATEDIF(Table2[[#This Row],[Order Date]],Table2[[#This Row],[Delivered Date]],"D")</f>
        <v>13</v>
      </c>
      <c r="P194" s="10">
        <f>ROUND(Table2[[#This Row],[Quantity]]*Table2[[#This Row],[Unit Price]]*VLOOKUP(Table2[[#This Row],[Product Name]],Table_1[#All],2,FALSE),0)</f>
        <v>1550</v>
      </c>
      <c r="Q194" s="10">
        <f>Table2[[#This Row],[Quantity]]*Table2[[#This Row],[Unit Price]]</f>
        <v>2583</v>
      </c>
      <c r="R194" s="10">
        <f>Table2[[#This Row],[Sales Revenue]]-Table2[[#This Row],[Total Cost After Product Percentage Calc]]</f>
        <v>1033</v>
      </c>
    </row>
    <row r="195" spans="1:18" ht="14.25" customHeight="1" x14ac:dyDescent="0.3">
      <c r="A195" s="1">
        <v>194</v>
      </c>
      <c r="B195" s="1" t="s">
        <v>244</v>
      </c>
      <c r="C195" s="1" t="s">
        <v>12</v>
      </c>
      <c r="D195" s="1" t="s">
        <v>39</v>
      </c>
      <c r="E195" s="2">
        <v>45592</v>
      </c>
      <c r="F195" s="4">
        <v>45599</v>
      </c>
      <c r="G195" s="1">
        <v>4</v>
      </c>
      <c r="H195" s="1">
        <v>258</v>
      </c>
      <c r="I195" s="1" t="s">
        <v>14</v>
      </c>
      <c r="J195" s="1" t="s">
        <v>15</v>
      </c>
      <c r="K195" s="1" t="s">
        <v>20</v>
      </c>
      <c r="L195" t="str">
        <f>TEXT(Table2[[#This Row],[Order Date]],"YYY")</f>
        <v>2024</v>
      </c>
      <c r="M195" t="str">
        <f>TEXT(Table2[[#This Row],[Order Date]],"MMM")</f>
        <v>Oct</v>
      </c>
      <c r="N195" t="str">
        <f>TEXT(Table2[[#This Row],[Order Date]],"DDD")</f>
        <v>Sun</v>
      </c>
      <c r="O195">
        <f>DATEDIF(Table2[[#This Row],[Order Date]],Table2[[#This Row],[Delivered Date]],"D")</f>
        <v>7</v>
      </c>
      <c r="P195" s="10">
        <f>ROUND(Table2[[#This Row],[Quantity]]*Table2[[#This Row],[Unit Price]]*VLOOKUP(Table2[[#This Row],[Product Name]],Table_1[#All],2,FALSE),0)</f>
        <v>826</v>
      </c>
      <c r="Q195" s="10">
        <f>Table2[[#This Row],[Quantity]]*Table2[[#This Row],[Unit Price]]</f>
        <v>1032</v>
      </c>
      <c r="R195" s="10">
        <f>Table2[[#This Row],[Sales Revenue]]-Table2[[#This Row],[Total Cost After Product Percentage Calc]]</f>
        <v>206</v>
      </c>
    </row>
    <row r="196" spans="1:18" ht="14.25" customHeight="1" x14ac:dyDescent="0.3">
      <c r="A196" s="1">
        <v>195</v>
      </c>
      <c r="B196" s="1" t="s">
        <v>245</v>
      </c>
      <c r="C196" s="1" t="s">
        <v>22</v>
      </c>
      <c r="D196" s="1" t="s">
        <v>43</v>
      </c>
      <c r="E196" s="2">
        <v>45343</v>
      </c>
      <c r="F196" s="4">
        <v>45357</v>
      </c>
      <c r="G196" s="1">
        <v>7</v>
      </c>
      <c r="H196" s="1">
        <v>348</v>
      </c>
      <c r="I196" s="1" t="s">
        <v>14</v>
      </c>
      <c r="J196" s="1" t="s">
        <v>36</v>
      </c>
      <c r="K196" s="1" t="s">
        <v>20</v>
      </c>
      <c r="L196" t="str">
        <f>TEXT(Table2[[#This Row],[Order Date]],"YYY")</f>
        <v>2024</v>
      </c>
      <c r="M196" t="str">
        <f>TEXT(Table2[[#This Row],[Order Date]],"MMM")</f>
        <v>Feb</v>
      </c>
      <c r="N196" t="str">
        <f>TEXT(Table2[[#This Row],[Order Date]],"DDD")</f>
        <v>Wed</v>
      </c>
      <c r="O196">
        <f>DATEDIF(Table2[[#This Row],[Order Date]],Table2[[#This Row],[Delivered Date]],"D")</f>
        <v>14</v>
      </c>
      <c r="P196" s="10">
        <f>ROUND(Table2[[#This Row],[Quantity]]*Table2[[#This Row],[Unit Price]]*VLOOKUP(Table2[[#This Row],[Product Name]],Table_1[#All],2,FALSE),0)</f>
        <v>1583</v>
      </c>
      <c r="Q196" s="10">
        <f>Table2[[#This Row],[Quantity]]*Table2[[#This Row],[Unit Price]]</f>
        <v>2436</v>
      </c>
      <c r="R196" s="10">
        <f>Table2[[#This Row],[Sales Revenue]]-Table2[[#This Row],[Total Cost After Product Percentage Calc]]</f>
        <v>853</v>
      </c>
    </row>
    <row r="197" spans="1:18" ht="14.25" customHeight="1" x14ac:dyDescent="0.3">
      <c r="A197" s="1">
        <v>196</v>
      </c>
      <c r="B197" s="1" t="s">
        <v>246</v>
      </c>
      <c r="C197" s="1" t="s">
        <v>22</v>
      </c>
      <c r="D197" s="1" t="s">
        <v>87</v>
      </c>
      <c r="E197" s="2">
        <v>45456</v>
      </c>
      <c r="F197" s="4">
        <v>45460</v>
      </c>
      <c r="G197" s="1">
        <v>5</v>
      </c>
      <c r="H197" s="1">
        <v>671</v>
      </c>
      <c r="I197" s="1" t="s">
        <v>30</v>
      </c>
      <c r="J197" s="1" t="s">
        <v>15</v>
      </c>
      <c r="K197" s="1" t="s">
        <v>16</v>
      </c>
      <c r="L197" t="str">
        <f>TEXT(Table2[[#This Row],[Order Date]],"YYY")</f>
        <v>2024</v>
      </c>
      <c r="M197" t="str">
        <f>TEXT(Table2[[#This Row],[Order Date]],"MMM")</f>
        <v>Jun</v>
      </c>
      <c r="N197" t="str">
        <f>TEXT(Table2[[#This Row],[Order Date]],"DDD")</f>
        <v>Thu</v>
      </c>
      <c r="O197">
        <f>DATEDIF(Table2[[#This Row],[Order Date]],Table2[[#This Row],[Delivered Date]],"D")</f>
        <v>4</v>
      </c>
      <c r="P197" s="10">
        <f>ROUND(Table2[[#This Row],[Quantity]]*Table2[[#This Row],[Unit Price]]*VLOOKUP(Table2[[#This Row],[Product Name]],Table_1[#All],2,FALSE),0)</f>
        <v>2684</v>
      </c>
      <c r="Q197" s="10">
        <f>Table2[[#This Row],[Quantity]]*Table2[[#This Row],[Unit Price]]</f>
        <v>3355</v>
      </c>
      <c r="R197" s="10">
        <f>Table2[[#This Row],[Sales Revenue]]-Table2[[#This Row],[Total Cost After Product Percentage Calc]]</f>
        <v>671</v>
      </c>
    </row>
    <row r="198" spans="1:18" ht="14.25" customHeight="1" x14ac:dyDescent="0.3">
      <c r="A198" s="1">
        <v>197</v>
      </c>
      <c r="B198" s="1" t="s">
        <v>247</v>
      </c>
      <c r="C198" s="1" t="s">
        <v>18</v>
      </c>
      <c r="D198" s="1" t="s">
        <v>68</v>
      </c>
      <c r="E198" s="2">
        <v>45565</v>
      </c>
      <c r="F198" s="4">
        <v>45571</v>
      </c>
      <c r="G198" s="1">
        <v>1</v>
      </c>
      <c r="H198" s="1">
        <v>945</v>
      </c>
      <c r="I198" s="1" t="s">
        <v>14</v>
      </c>
      <c r="J198" s="1" t="s">
        <v>15</v>
      </c>
      <c r="K198" s="1" t="s">
        <v>49</v>
      </c>
      <c r="L198" t="str">
        <f>TEXT(Table2[[#This Row],[Order Date]],"YYY")</f>
        <v>2024</v>
      </c>
      <c r="M198" t="str">
        <f>TEXT(Table2[[#This Row],[Order Date]],"MMM")</f>
        <v>Sep</v>
      </c>
      <c r="N198" t="str">
        <f>TEXT(Table2[[#This Row],[Order Date]],"DDD")</f>
        <v>Mon</v>
      </c>
      <c r="O198">
        <f>DATEDIF(Table2[[#This Row],[Order Date]],Table2[[#This Row],[Delivered Date]],"D")</f>
        <v>6</v>
      </c>
      <c r="P198" s="10">
        <f>ROUND(Table2[[#This Row],[Quantity]]*Table2[[#This Row],[Unit Price]]*VLOOKUP(Table2[[#This Row],[Product Name]],Table_1[#All],2,FALSE),0)</f>
        <v>473</v>
      </c>
      <c r="Q198" s="10">
        <f>Table2[[#This Row],[Quantity]]*Table2[[#This Row],[Unit Price]]</f>
        <v>945</v>
      </c>
      <c r="R198" s="10">
        <f>Table2[[#This Row],[Sales Revenue]]-Table2[[#This Row],[Total Cost After Product Percentage Calc]]</f>
        <v>472</v>
      </c>
    </row>
    <row r="199" spans="1:18" ht="14.25" customHeight="1" x14ac:dyDescent="0.3">
      <c r="A199" s="1">
        <v>198</v>
      </c>
      <c r="B199" s="1" t="s">
        <v>248</v>
      </c>
      <c r="C199" s="1" t="s">
        <v>12</v>
      </c>
      <c r="D199" s="1" t="s">
        <v>29</v>
      </c>
      <c r="E199" s="2">
        <v>45545</v>
      </c>
      <c r="F199" s="4">
        <v>45556</v>
      </c>
      <c r="G199" s="1">
        <v>3</v>
      </c>
      <c r="H199" s="1">
        <v>969</v>
      </c>
      <c r="I199" s="1" t="s">
        <v>14</v>
      </c>
      <c r="J199" s="1" t="s">
        <v>36</v>
      </c>
      <c r="K199" s="1" t="s">
        <v>32</v>
      </c>
      <c r="L199" t="str">
        <f>TEXT(Table2[[#This Row],[Order Date]],"YYY")</f>
        <v>2024</v>
      </c>
      <c r="M199" t="str">
        <f>TEXT(Table2[[#This Row],[Order Date]],"MMM")</f>
        <v>Sep</v>
      </c>
      <c r="N199" t="str">
        <f>TEXT(Table2[[#This Row],[Order Date]],"DDD")</f>
        <v>Tue</v>
      </c>
      <c r="O199">
        <f>DATEDIF(Table2[[#This Row],[Order Date]],Table2[[#This Row],[Delivered Date]],"D")</f>
        <v>11</v>
      </c>
      <c r="P199" s="10">
        <f>ROUND(Table2[[#This Row],[Quantity]]*Table2[[#This Row],[Unit Price]]*VLOOKUP(Table2[[#This Row],[Product Name]],Table_1[#All],2,FALSE),0)</f>
        <v>1890</v>
      </c>
      <c r="Q199" s="10">
        <f>Table2[[#This Row],[Quantity]]*Table2[[#This Row],[Unit Price]]</f>
        <v>2907</v>
      </c>
      <c r="R199" s="10">
        <f>Table2[[#This Row],[Sales Revenue]]-Table2[[#This Row],[Total Cost After Product Percentage Calc]]</f>
        <v>1017</v>
      </c>
    </row>
    <row r="200" spans="1:18" ht="14.25" customHeight="1" x14ac:dyDescent="0.3">
      <c r="A200" s="1">
        <v>199</v>
      </c>
      <c r="B200" s="1" t="s">
        <v>249</v>
      </c>
      <c r="C200" s="1" t="s">
        <v>22</v>
      </c>
      <c r="D200" s="1" t="s">
        <v>43</v>
      </c>
      <c r="E200" s="2">
        <v>45461</v>
      </c>
      <c r="F200" s="4">
        <v>45467</v>
      </c>
      <c r="G200" s="1">
        <v>3</v>
      </c>
      <c r="H200" s="1">
        <v>758</v>
      </c>
      <c r="I200" s="1" t="s">
        <v>30</v>
      </c>
      <c r="J200" s="1" t="s">
        <v>31</v>
      </c>
      <c r="K200" s="1" t="s">
        <v>32</v>
      </c>
      <c r="L200" t="str">
        <f>TEXT(Table2[[#This Row],[Order Date]],"YYY")</f>
        <v>2024</v>
      </c>
      <c r="M200" t="str">
        <f>TEXT(Table2[[#This Row],[Order Date]],"MMM")</f>
        <v>Jun</v>
      </c>
      <c r="N200" t="str">
        <f>TEXT(Table2[[#This Row],[Order Date]],"DDD")</f>
        <v>Tue</v>
      </c>
      <c r="O200">
        <f>DATEDIF(Table2[[#This Row],[Order Date]],Table2[[#This Row],[Delivered Date]],"D")</f>
        <v>6</v>
      </c>
      <c r="P200" s="10">
        <f>ROUND(Table2[[#This Row],[Quantity]]*Table2[[#This Row],[Unit Price]]*VLOOKUP(Table2[[#This Row],[Product Name]],Table_1[#All],2,FALSE),0)</f>
        <v>1478</v>
      </c>
      <c r="Q200" s="10">
        <f>Table2[[#This Row],[Quantity]]*Table2[[#This Row],[Unit Price]]</f>
        <v>2274</v>
      </c>
      <c r="R200" s="10">
        <f>Table2[[#This Row],[Sales Revenue]]-Table2[[#This Row],[Total Cost After Product Percentage Calc]]</f>
        <v>796</v>
      </c>
    </row>
    <row r="201" spans="1:18" ht="14.25" customHeight="1" x14ac:dyDescent="0.3">
      <c r="A201" s="1">
        <v>200</v>
      </c>
      <c r="B201" s="1" t="s">
        <v>250</v>
      </c>
      <c r="C201" s="1" t="s">
        <v>22</v>
      </c>
      <c r="D201" s="1" t="s">
        <v>43</v>
      </c>
      <c r="E201" s="2">
        <v>45464</v>
      </c>
      <c r="F201" s="4">
        <v>45468</v>
      </c>
      <c r="G201" s="1">
        <v>5</v>
      </c>
      <c r="H201" s="1">
        <v>591</v>
      </c>
      <c r="I201" s="1" t="s">
        <v>14</v>
      </c>
      <c r="J201" s="1" t="s">
        <v>36</v>
      </c>
      <c r="K201" s="1" t="s">
        <v>16</v>
      </c>
      <c r="L201" t="str">
        <f>TEXT(Table2[[#This Row],[Order Date]],"YYY")</f>
        <v>2024</v>
      </c>
      <c r="M201" t="str">
        <f>TEXT(Table2[[#This Row],[Order Date]],"MMM")</f>
        <v>Jun</v>
      </c>
      <c r="N201" t="str">
        <f>TEXT(Table2[[#This Row],[Order Date]],"DDD")</f>
        <v>Fri</v>
      </c>
      <c r="O201">
        <f>DATEDIF(Table2[[#This Row],[Order Date]],Table2[[#This Row],[Delivered Date]],"D")</f>
        <v>4</v>
      </c>
      <c r="P201" s="10">
        <f>ROUND(Table2[[#This Row],[Quantity]]*Table2[[#This Row],[Unit Price]]*VLOOKUP(Table2[[#This Row],[Product Name]],Table_1[#All],2,FALSE),0)</f>
        <v>1921</v>
      </c>
      <c r="Q201" s="10">
        <f>Table2[[#This Row],[Quantity]]*Table2[[#This Row],[Unit Price]]</f>
        <v>2955</v>
      </c>
      <c r="R201" s="10">
        <f>Table2[[#This Row],[Sales Revenue]]-Table2[[#This Row],[Total Cost After Product Percentage Calc]]</f>
        <v>1034</v>
      </c>
    </row>
    <row r="202" spans="1:18" ht="14.25" customHeight="1" x14ac:dyDescent="0.3">
      <c r="A202" s="1">
        <v>201</v>
      </c>
      <c r="B202" s="1" t="s">
        <v>251</v>
      </c>
      <c r="C202" s="1" t="s">
        <v>18</v>
      </c>
      <c r="D202" s="1" t="s">
        <v>47</v>
      </c>
      <c r="E202" s="2">
        <v>45510</v>
      </c>
      <c r="F202" s="4">
        <v>45522</v>
      </c>
      <c r="G202" s="1">
        <v>9</v>
      </c>
      <c r="H202" s="1">
        <v>345</v>
      </c>
      <c r="I202" s="1" t="s">
        <v>30</v>
      </c>
      <c r="J202" s="1" t="s">
        <v>15</v>
      </c>
      <c r="K202" s="1" t="s">
        <v>49</v>
      </c>
      <c r="L202" t="str">
        <f>TEXT(Table2[[#This Row],[Order Date]],"YYY")</f>
        <v>2024</v>
      </c>
      <c r="M202" t="str">
        <f>TEXT(Table2[[#This Row],[Order Date]],"MMM")</f>
        <v>Aug</v>
      </c>
      <c r="N202" t="str">
        <f>TEXT(Table2[[#This Row],[Order Date]],"DDD")</f>
        <v>Tue</v>
      </c>
      <c r="O202">
        <f>DATEDIF(Table2[[#This Row],[Order Date]],Table2[[#This Row],[Delivered Date]],"D")</f>
        <v>12</v>
      </c>
      <c r="P202" s="10">
        <f>ROUND(Table2[[#This Row],[Quantity]]*Table2[[#This Row],[Unit Price]]*VLOOKUP(Table2[[#This Row],[Product Name]],Table_1[#All],2,FALSE),0)</f>
        <v>1863</v>
      </c>
      <c r="Q202" s="10">
        <f>Table2[[#This Row],[Quantity]]*Table2[[#This Row],[Unit Price]]</f>
        <v>3105</v>
      </c>
      <c r="R202" s="10">
        <f>Table2[[#This Row],[Sales Revenue]]-Table2[[#This Row],[Total Cost After Product Percentage Calc]]</f>
        <v>1242</v>
      </c>
    </row>
    <row r="203" spans="1:18" ht="14.25" customHeight="1" x14ac:dyDescent="0.3">
      <c r="A203" s="1">
        <v>202</v>
      </c>
      <c r="B203" s="1" t="s">
        <v>252</v>
      </c>
      <c r="C203" s="1" t="s">
        <v>26</v>
      </c>
      <c r="D203" s="1" t="s">
        <v>104</v>
      </c>
      <c r="E203" s="2">
        <v>45520</v>
      </c>
      <c r="F203" s="4">
        <v>45533</v>
      </c>
      <c r="G203" s="1">
        <v>5</v>
      </c>
      <c r="H203" s="1">
        <v>986</v>
      </c>
      <c r="I203" s="1" t="s">
        <v>30</v>
      </c>
      <c r="J203" s="1" t="s">
        <v>52</v>
      </c>
      <c r="K203" s="1" t="s">
        <v>16</v>
      </c>
      <c r="L203" t="str">
        <f>TEXT(Table2[[#This Row],[Order Date]],"YYY")</f>
        <v>2024</v>
      </c>
      <c r="M203" t="str">
        <f>TEXT(Table2[[#This Row],[Order Date]],"MMM")</f>
        <v>Aug</v>
      </c>
      <c r="N203" t="str">
        <f>TEXT(Table2[[#This Row],[Order Date]],"DDD")</f>
        <v>Fri</v>
      </c>
      <c r="O203">
        <f>DATEDIF(Table2[[#This Row],[Order Date]],Table2[[#This Row],[Delivered Date]],"D")</f>
        <v>13</v>
      </c>
      <c r="P203" s="10">
        <f>ROUND(Table2[[#This Row],[Quantity]]*Table2[[#This Row],[Unit Price]]*VLOOKUP(Table2[[#This Row],[Product Name]],Table_1[#All],2,FALSE),0)</f>
        <v>2958</v>
      </c>
      <c r="Q203" s="10">
        <f>Table2[[#This Row],[Quantity]]*Table2[[#This Row],[Unit Price]]</f>
        <v>4930</v>
      </c>
      <c r="R203" s="10">
        <f>Table2[[#This Row],[Sales Revenue]]-Table2[[#This Row],[Total Cost After Product Percentage Calc]]</f>
        <v>1972</v>
      </c>
    </row>
    <row r="204" spans="1:18" ht="14.25" customHeight="1" x14ac:dyDescent="0.3">
      <c r="A204" s="1">
        <v>203</v>
      </c>
      <c r="B204" s="1" t="s">
        <v>253</v>
      </c>
      <c r="C204" s="1" t="s">
        <v>18</v>
      </c>
      <c r="D204" s="1" t="s">
        <v>19</v>
      </c>
      <c r="E204" s="2">
        <v>45425</v>
      </c>
      <c r="F204" s="4">
        <v>45432</v>
      </c>
      <c r="G204" s="1">
        <v>6</v>
      </c>
      <c r="H204" s="1">
        <v>719</v>
      </c>
      <c r="I204" s="1" t="s">
        <v>30</v>
      </c>
      <c r="J204" s="1" t="s">
        <v>15</v>
      </c>
      <c r="K204" s="1" t="s">
        <v>49</v>
      </c>
      <c r="L204" t="str">
        <f>TEXT(Table2[[#This Row],[Order Date]],"YYY")</f>
        <v>2024</v>
      </c>
      <c r="M204" t="str">
        <f>TEXT(Table2[[#This Row],[Order Date]],"MMM")</f>
        <v>May</v>
      </c>
      <c r="N204" t="str">
        <f>TEXT(Table2[[#This Row],[Order Date]],"DDD")</f>
        <v>Mon</v>
      </c>
      <c r="O204">
        <f>DATEDIF(Table2[[#This Row],[Order Date]],Table2[[#This Row],[Delivered Date]],"D")</f>
        <v>7</v>
      </c>
      <c r="P204" s="10">
        <f>ROUND(Table2[[#This Row],[Quantity]]*Table2[[#This Row],[Unit Price]]*VLOOKUP(Table2[[#This Row],[Product Name]],Table_1[#All],2,FALSE),0)</f>
        <v>2157</v>
      </c>
      <c r="Q204" s="10">
        <f>Table2[[#This Row],[Quantity]]*Table2[[#This Row],[Unit Price]]</f>
        <v>4314</v>
      </c>
      <c r="R204" s="10">
        <f>Table2[[#This Row],[Sales Revenue]]-Table2[[#This Row],[Total Cost After Product Percentage Calc]]</f>
        <v>2157</v>
      </c>
    </row>
    <row r="205" spans="1:18" ht="14.25" customHeight="1" x14ac:dyDescent="0.3">
      <c r="A205" s="1">
        <v>204</v>
      </c>
      <c r="B205" s="1" t="s">
        <v>254</v>
      </c>
      <c r="C205" s="1" t="s">
        <v>12</v>
      </c>
      <c r="D205" s="1" t="s">
        <v>29</v>
      </c>
      <c r="E205" s="2">
        <v>45449</v>
      </c>
      <c r="F205" s="4">
        <v>45461</v>
      </c>
      <c r="G205" s="1">
        <v>3</v>
      </c>
      <c r="H205" s="1">
        <v>425</v>
      </c>
      <c r="I205" s="1" t="s">
        <v>30</v>
      </c>
      <c r="J205" s="1" t="s">
        <v>36</v>
      </c>
      <c r="K205" s="1" t="s">
        <v>49</v>
      </c>
      <c r="L205" t="str">
        <f>TEXT(Table2[[#This Row],[Order Date]],"YYY")</f>
        <v>2024</v>
      </c>
      <c r="M205" t="str">
        <f>TEXT(Table2[[#This Row],[Order Date]],"MMM")</f>
        <v>Jun</v>
      </c>
      <c r="N205" t="str">
        <f>TEXT(Table2[[#This Row],[Order Date]],"DDD")</f>
        <v>Thu</v>
      </c>
      <c r="O205">
        <f>DATEDIF(Table2[[#This Row],[Order Date]],Table2[[#This Row],[Delivered Date]],"D")</f>
        <v>12</v>
      </c>
      <c r="P205" s="10">
        <f>ROUND(Table2[[#This Row],[Quantity]]*Table2[[#This Row],[Unit Price]]*VLOOKUP(Table2[[#This Row],[Product Name]],Table_1[#All],2,FALSE),0)</f>
        <v>829</v>
      </c>
      <c r="Q205" s="10">
        <f>Table2[[#This Row],[Quantity]]*Table2[[#This Row],[Unit Price]]</f>
        <v>1275</v>
      </c>
      <c r="R205" s="10">
        <f>Table2[[#This Row],[Sales Revenue]]-Table2[[#This Row],[Total Cost After Product Percentage Calc]]</f>
        <v>446</v>
      </c>
    </row>
    <row r="206" spans="1:18" ht="14.25" customHeight="1" x14ac:dyDescent="0.3">
      <c r="A206" s="1">
        <v>205</v>
      </c>
      <c r="B206" s="1" t="s">
        <v>255</v>
      </c>
      <c r="C206" s="1" t="s">
        <v>34</v>
      </c>
      <c r="D206" s="1" t="s">
        <v>80</v>
      </c>
      <c r="E206" s="2">
        <v>45619</v>
      </c>
      <c r="F206" s="4">
        <v>45625</v>
      </c>
      <c r="G206" s="1">
        <v>5</v>
      </c>
      <c r="H206" s="1">
        <v>386</v>
      </c>
      <c r="I206" s="1" t="s">
        <v>14</v>
      </c>
      <c r="J206" s="1" t="s">
        <v>36</v>
      </c>
      <c r="K206" s="1" t="s">
        <v>49</v>
      </c>
      <c r="L206" t="str">
        <f>TEXT(Table2[[#This Row],[Order Date]],"YYY")</f>
        <v>2024</v>
      </c>
      <c r="M206" t="str">
        <f>TEXT(Table2[[#This Row],[Order Date]],"MMM")</f>
        <v>Nov</v>
      </c>
      <c r="N206" t="str">
        <f>TEXT(Table2[[#This Row],[Order Date]],"DDD")</f>
        <v>Sat</v>
      </c>
      <c r="O206">
        <f>DATEDIF(Table2[[#This Row],[Order Date]],Table2[[#This Row],[Delivered Date]],"D")</f>
        <v>6</v>
      </c>
      <c r="P206" s="10">
        <f>ROUND(Table2[[#This Row],[Quantity]]*Table2[[#This Row],[Unit Price]]*VLOOKUP(Table2[[#This Row],[Product Name]],Table_1[#All],2,FALSE),0)</f>
        <v>1448</v>
      </c>
      <c r="Q206" s="10">
        <f>Table2[[#This Row],[Quantity]]*Table2[[#This Row],[Unit Price]]</f>
        <v>1930</v>
      </c>
      <c r="R206" s="10">
        <f>Table2[[#This Row],[Sales Revenue]]-Table2[[#This Row],[Total Cost After Product Percentage Calc]]</f>
        <v>482</v>
      </c>
    </row>
    <row r="207" spans="1:18" ht="14.25" customHeight="1" x14ac:dyDescent="0.3">
      <c r="A207" s="1">
        <v>206</v>
      </c>
      <c r="B207" s="1" t="s">
        <v>256</v>
      </c>
      <c r="C207" s="1" t="s">
        <v>18</v>
      </c>
      <c r="D207" s="1" t="s">
        <v>47</v>
      </c>
      <c r="E207" s="2">
        <v>45567</v>
      </c>
      <c r="F207" s="4">
        <v>45574</v>
      </c>
      <c r="G207" s="1">
        <v>4</v>
      </c>
      <c r="H207" s="1">
        <v>790</v>
      </c>
      <c r="I207" s="1" t="s">
        <v>14</v>
      </c>
      <c r="J207" s="1" t="s">
        <v>15</v>
      </c>
      <c r="K207" s="1" t="s">
        <v>20</v>
      </c>
      <c r="L207" t="str">
        <f>TEXT(Table2[[#This Row],[Order Date]],"YYY")</f>
        <v>2024</v>
      </c>
      <c r="M207" t="str">
        <f>TEXT(Table2[[#This Row],[Order Date]],"MMM")</f>
        <v>Oct</v>
      </c>
      <c r="N207" t="str">
        <f>TEXT(Table2[[#This Row],[Order Date]],"DDD")</f>
        <v>Wed</v>
      </c>
      <c r="O207">
        <f>DATEDIF(Table2[[#This Row],[Order Date]],Table2[[#This Row],[Delivered Date]],"D")</f>
        <v>7</v>
      </c>
      <c r="P207" s="10">
        <f>ROUND(Table2[[#This Row],[Quantity]]*Table2[[#This Row],[Unit Price]]*VLOOKUP(Table2[[#This Row],[Product Name]],Table_1[#All],2,FALSE),0)</f>
        <v>1896</v>
      </c>
      <c r="Q207" s="10">
        <f>Table2[[#This Row],[Quantity]]*Table2[[#This Row],[Unit Price]]</f>
        <v>3160</v>
      </c>
      <c r="R207" s="10">
        <f>Table2[[#This Row],[Sales Revenue]]-Table2[[#This Row],[Total Cost After Product Percentage Calc]]</f>
        <v>1264</v>
      </c>
    </row>
    <row r="208" spans="1:18" ht="14.25" customHeight="1" x14ac:dyDescent="0.3">
      <c r="A208" s="1">
        <v>207</v>
      </c>
      <c r="B208" s="1" t="s">
        <v>257</v>
      </c>
      <c r="C208" s="1" t="s">
        <v>18</v>
      </c>
      <c r="D208" s="1" t="s">
        <v>47</v>
      </c>
      <c r="E208" s="2">
        <v>45562</v>
      </c>
      <c r="F208" s="4">
        <v>45572</v>
      </c>
      <c r="G208" s="1">
        <v>6</v>
      </c>
      <c r="H208" s="1">
        <v>89</v>
      </c>
      <c r="I208" s="1" t="s">
        <v>14</v>
      </c>
      <c r="J208" s="1" t="s">
        <v>36</v>
      </c>
      <c r="K208" s="1" t="s">
        <v>20</v>
      </c>
      <c r="L208" t="str">
        <f>TEXT(Table2[[#This Row],[Order Date]],"YYY")</f>
        <v>2024</v>
      </c>
      <c r="M208" t="str">
        <f>TEXT(Table2[[#This Row],[Order Date]],"MMM")</f>
        <v>Sep</v>
      </c>
      <c r="N208" t="str">
        <f>TEXT(Table2[[#This Row],[Order Date]],"DDD")</f>
        <v>Fri</v>
      </c>
      <c r="O208">
        <f>DATEDIF(Table2[[#This Row],[Order Date]],Table2[[#This Row],[Delivered Date]],"D")</f>
        <v>10</v>
      </c>
      <c r="P208" s="10">
        <f>ROUND(Table2[[#This Row],[Quantity]]*Table2[[#This Row],[Unit Price]]*VLOOKUP(Table2[[#This Row],[Product Name]],Table_1[#All],2,FALSE),0)</f>
        <v>320</v>
      </c>
      <c r="Q208" s="10">
        <f>Table2[[#This Row],[Quantity]]*Table2[[#This Row],[Unit Price]]</f>
        <v>534</v>
      </c>
      <c r="R208" s="10">
        <f>Table2[[#This Row],[Sales Revenue]]-Table2[[#This Row],[Total Cost After Product Percentage Calc]]</f>
        <v>214</v>
      </c>
    </row>
    <row r="209" spans="1:18" ht="14.25" customHeight="1" x14ac:dyDescent="0.3">
      <c r="A209" s="1">
        <v>208</v>
      </c>
      <c r="B209" s="1" t="s">
        <v>258</v>
      </c>
      <c r="C209" s="1" t="s">
        <v>18</v>
      </c>
      <c r="D209" s="1" t="s">
        <v>47</v>
      </c>
      <c r="E209" s="2">
        <v>45351</v>
      </c>
      <c r="F209" s="4">
        <v>45359</v>
      </c>
      <c r="G209" s="1">
        <v>4</v>
      </c>
      <c r="H209" s="1">
        <v>744</v>
      </c>
      <c r="I209" s="1" t="s">
        <v>14</v>
      </c>
      <c r="J209" s="1" t="s">
        <v>36</v>
      </c>
      <c r="K209" s="1" t="s">
        <v>20</v>
      </c>
      <c r="L209" t="str">
        <f>TEXT(Table2[[#This Row],[Order Date]],"YYY")</f>
        <v>2024</v>
      </c>
      <c r="M209" t="str">
        <f>TEXT(Table2[[#This Row],[Order Date]],"MMM")</f>
        <v>Feb</v>
      </c>
      <c r="N209" t="str">
        <f>TEXT(Table2[[#This Row],[Order Date]],"DDD")</f>
        <v>Thu</v>
      </c>
      <c r="O209">
        <f>DATEDIF(Table2[[#This Row],[Order Date]],Table2[[#This Row],[Delivered Date]],"D")</f>
        <v>8</v>
      </c>
      <c r="P209" s="10">
        <f>ROUND(Table2[[#This Row],[Quantity]]*Table2[[#This Row],[Unit Price]]*VLOOKUP(Table2[[#This Row],[Product Name]],Table_1[#All],2,FALSE),0)</f>
        <v>1786</v>
      </c>
      <c r="Q209" s="10">
        <f>Table2[[#This Row],[Quantity]]*Table2[[#This Row],[Unit Price]]</f>
        <v>2976</v>
      </c>
      <c r="R209" s="10">
        <f>Table2[[#This Row],[Sales Revenue]]-Table2[[#This Row],[Total Cost After Product Percentage Calc]]</f>
        <v>1190</v>
      </c>
    </row>
    <row r="210" spans="1:18" ht="14.25" customHeight="1" x14ac:dyDescent="0.3">
      <c r="A210" s="1">
        <v>209</v>
      </c>
      <c r="B210" s="1" t="s">
        <v>259</v>
      </c>
      <c r="C210" s="1" t="s">
        <v>18</v>
      </c>
      <c r="D210" s="1" t="s">
        <v>19</v>
      </c>
      <c r="E210" s="2">
        <v>45578</v>
      </c>
      <c r="F210" s="4">
        <v>45590</v>
      </c>
      <c r="G210" s="1">
        <v>8</v>
      </c>
      <c r="H210" s="1">
        <v>698</v>
      </c>
      <c r="I210" s="1" t="s">
        <v>30</v>
      </c>
      <c r="J210" s="1" t="s">
        <v>24</v>
      </c>
      <c r="K210" s="1" t="s">
        <v>49</v>
      </c>
      <c r="L210" t="str">
        <f>TEXT(Table2[[#This Row],[Order Date]],"YYY")</f>
        <v>2024</v>
      </c>
      <c r="M210" t="str">
        <f>TEXT(Table2[[#This Row],[Order Date]],"MMM")</f>
        <v>Oct</v>
      </c>
      <c r="N210" t="str">
        <f>TEXT(Table2[[#This Row],[Order Date]],"DDD")</f>
        <v>Sun</v>
      </c>
      <c r="O210">
        <f>DATEDIF(Table2[[#This Row],[Order Date]],Table2[[#This Row],[Delivered Date]],"D")</f>
        <v>12</v>
      </c>
      <c r="P210" s="10">
        <f>ROUND(Table2[[#This Row],[Quantity]]*Table2[[#This Row],[Unit Price]]*VLOOKUP(Table2[[#This Row],[Product Name]],Table_1[#All],2,FALSE),0)</f>
        <v>2792</v>
      </c>
      <c r="Q210" s="10">
        <f>Table2[[#This Row],[Quantity]]*Table2[[#This Row],[Unit Price]]</f>
        <v>5584</v>
      </c>
      <c r="R210" s="10">
        <f>Table2[[#This Row],[Sales Revenue]]-Table2[[#This Row],[Total Cost After Product Percentage Calc]]</f>
        <v>2792</v>
      </c>
    </row>
    <row r="211" spans="1:18" ht="14.25" customHeight="1" x14ac:dyDescent="0.3">
      <c r="A211" s="1">
        <v>210</v>
      </c>
      <c r="B211" s="1" t="s">
        <v>260</v>
      </c>
      <c r="C211" s="1" t="s">
        <v>12</v>
      </c>
      <c r="D211" s="1" t="s">
        <v>29</v>
      </c>
      <c r="E211" s="2">
        <v>45422</v>
      </c>
      <c r="F211" s="4">
        <v>45425</v>
      </c>
      <c r="G211" s="1">
        <v>1</v>
      </c>
      <c r="H211" s="1">
        <v>773</v>
      </c>
      <c r="I211" s="1" t="s">
        <v>14</v>
      </c>
      <c r="J211" s="1" t="s">
        <v>15</v>
      </c>
      <c r="K211" s="1" t="s">
        <v>49</v>
      </c>
      <c r="L211" t="str">
        <f>TEXT(Table2[[#This Row],[Order Date]],"YYY")</f>
        <v>2024</v>
      </c>
      <c r="M211" t="str">
        <f>TEXT(Table2[[#This Row],[Order Date]],"MMM")</f>
        <v>May</v>
      </c>
      <c r="N211" t="str">
        <f>TEXT(Table2[[#This Row],[Order Date]],"DDD")</f>
        <v>Fri</v>
      </c>
      <c r="O211">
        <f>DATEDIF(Table2[[#This Row],[Order Date]],Table2[[#This Row],[Delivered Date]],"D")</f>
        <v>3</v>
      </c>
      <c r="P211" s="10">
        <f>ROUND(Table2[[#This Row],[Quantity]]*Table2[[#This Row],[Unit Price]]*VLOOKUP(Table2[[#This Row],[Product Name]],Table_1[#All],2,FALSE),0)</f>
        <v>502</v>
      </c>
      <c r="Q211" s="10">
        <f>Table2[[#This Row],[Quantity]]*Table2[[#This Row],[Unit Price]]</f>
        <v>773</v>
      </c>
      <c r="R211" s="10">
        <f>Table2[[#This Row],[Sales Revenue]]-Table2[[#This Row],[Total Cost After Product Percentage Calc]]</f>
        <v>271</v>
      </c>
    </row>
    <row r="212" spans="1:18" ht="14.25" customHeight="1" x14ac:dyDescent="0.3">
      <c r="A212" s="1">
        <v>211</v>
      </c>
      <c r="B212" s="1" t="s">
        <v>261</v>
      </c>
      <c r="C212" s="1" t="s">
        <v>26</v>
      </c>
      <c r="D212" s="1" t="s">
        <v>41</v>
      </c>
      <c r="E212" s="2">
        <v>45485</v>
      </c>
      <c r="F212" s="4">
        <v>45490</v>
      </c>
      <c r="G212" s="1">
        <v>7</v>
      </c>
      <c r="H212" s="1">
        <v>92</v>
      </c>
      <c r="I212" s="1" t="s">
        <v>14</v>
      </c>
      <c r="J212" s="1" t="s">
        <v>36</v>
      </c>
      <c r="K212" s="1" t="s">
        <v>16</v>
      </c>
      <c r="L212" t="str">
        <f>TEXT(Table2[[#This Row],[Order Date]],"YYY")</f>
        <v>2024</v>
      </c>
      <c r="M212" t="str">
        <f>TEXT(Table2[[#This Row],[Order Date]],"MMM")</f>
        <v>Jul</v>
      </c>
      <c r="N212" t="str">
        <f>TEXT(Table2[[#This Row],[Order Date]],"DDD")</f>
        <v>Fri</v>
      </c>
      <c r="O212">
        <f>DATEDIF(Table2[[#This Row],[Order Date]],Table2[[#This Row],[Delivered Date]],"D")</f>
        <v>5</v>
      </c>
      <c r="P212" s="10">
        <f>ROUND(Table2[[#This Row],[Quantity]]*Table2[[#This Row],[Unit Price]]*VLOOKUP(Table2[[#This Row],[Product Name]],Table_1[#All],2,FALSE),0)</f>
        <v>322</v>
      </c>
      <c r="Q212" s="10">
        <f>Table2[[#This Row],[Quantity]]*Table2[[#This Row],[Unit Price]]</f>
        <v>644</v>
      </c>
      <c r="R212" s="10">
        <f>Table2[[#This Row],[Sales Revenue]]-Table2[[#This Row],[Total Cost After Product Percentage Calc]]</f>
        <v>322</v>
      </c>
    </row>
    <row r="213" spans="1:18" ht="14.25" customHeight="1" x14ac:dyDescent="0.3">
      <c r="A213" s="1">
        <v>212</v>
      </c>
      <c r="B213" s="1" t="s">
        <v>262</v>
      </c>
      <c r="C213" s="1" t="s">
        <v>34</v>
      </c>
      <c r="D213" s="1" t="s">
        <v>80</v>
      </c>
      <c r="E213" s="2">
        <v>45383</v>
      </c>
      <c r="F213" s="4">
        <v>45394</v>
      </c>
      <c r="G213" s="1">
        <v>9</v>
      </c>
      <c r="H213" s="1">
        <v>412</v>
      </c>
      <c r="I213" s="1" t="s">
        <v>30</v>
      </c>
      <c r="J213" s="1" t="s">
        <v>36</v>
      </c>
      <c r="K213" s="1" t="s">
        <v>20</v>
      </c>
      <c r="L213" t="str">
        <f>TEXT(Table2[[#This Row],[Order Date]],"YYY")</f>
        <v>2024</v>
      </c>
      <c r="M213" t="str">
        <f>TEXT(Table2[[#This Row],[Order Date]],"MMM")</f>
        <v>Apr</v>
      </c>
      <c r="N213" t="str">
        <f>TEXT(Table2[[#This Row],[Order Date]],"DDD")</f>
        <v>Mon</v>
      </c>
      <c r="O213">
        <f>DATEDIF(Table2[[#This Row],[Order Date]],Table2[[#This Row],[Delivered Date]],"D")</f>
        <v>11</v>
      </c>
      <c r="P213" s="10">
        <f>ROUND(Table2[[#This Row],[Quantity]]*Table2[[#This Row],[Unit Price]]*VLOOKUP(Table2[[#This Row],[Product Name]],Table_1[#All],2,FALSE),0)</f>
        <v>2781</v>
      </c>
      <c r="Q213" s="10">
        <f>Table2[[#This Row],[Quantity]]*Table2[[#This Row],[Unit Price]]</f>
        <v>3708</v>
      </c>
      <c r="R213" s="10">
        <f>Table2[[#This Row],[Sales Revenue]]-Table2[[#This Row],[Total Cost After Product Percentage Calc]]</f>
        <v>927</v>
      </c>
    </row>
    <row r="214" spans="1:18" ht="14.25" customHeight="1" x14ac:dyDescent="0.3">
      <c r="A214" s="1">
        <v>213</v>
      </c>
      <c r="B214" s="1" t="s">
        <v>263</v>
      </c>
      <c r="C214" s="1" t="s">
        <v>22</v>
      </c>
      <c r="D214" s="1" t="s">
        <v>43</v>
      </c>
      <c r="E214" s="2">
        <v>45308</v>
      </c>
      <c r="F214" s="4">
        <v>45318</v>
      </c>
      <c r="G214" s="1">
        <v>7</v>
      </c>
      <c r="H214" s="1">
        <v>639</v>
      </c>
      <c r="I214" s="1" t="s">
        <v>14</v>
      </c>
      <c r="J214" s="1" t="s">
        <v>24</v>
      </c>
      <c r="K214" s="1" t="s">
        <v>20</v>
      </c>
      <c r="L214" t="str">
        <f>TEXT(Table2[[#This Row],[Order Date]],"YYY")</f>
        <v>2024</v>
      </c>
      <c r="M214" t="str">
        <f>TEXT(Table2[[#This Row],[Order Date]],"MMM")</f>
        <v>Jan</v>
      </c>
      <c r="N214" t="str">
        <f>TEXT(Table2[[#This Row],[Order Date]],"DDD")</f>
        <v>Wed</v>
      </c>
      <c r="O214">
        <f>DATEDIF(Table2[[#This Row],[Order Date]],Table2[[#This Row],[Delivered Date]],"D")</f>
        <v>10</v>
      </c>
      <c r="P214" s="10">
        <f>ROUND(Table2[[#This Row],[Quantity]]*Table2[[#This Row],[Unit Price]]*VLOOKUP(Table2[[#This Row],[Product Name]],Table_1[#All],2,FALSE),0)</f>
        <v>2907</v>
      </c>
      <c r="Q214" s="10">
        <f>Table2[[#This Row],[Quantity]]*Table2[[#This Row],[Unit Price]]</f>
        <v>4473</v>
      </c>
      <c r="R214" s="10">
        <f>Table2[[#This Row],[Sales Revenue]]-Table2[[#This Row],[Total Cost After Product Percentage Calc]]</f>
        <v>1566</v>
      </c>
    </row>
    <row r="215" spans="1:18" ht="14.25" customHeight="1" x14ac:dyDescent="0.3">
      <c r="A215" s="1">
        <v>214</v>
      </c>
      <c r="B215" s="1" t="s">
        <v>264</v>
      </c>
      <c r="C215" s="1" t="s">
        <v>22</v>
      </c>
      <c r="D215" s="1" t="s">
        <v>43</v>
      </c>
      <c r="E215" s="2">
        <v>45343</v>
      </c>
      <c r="F215" s="4">
        <v>45356</v>
      </c>
      <c r="G215" s="1">
        <v>10</v>
      </c>
      <c r="H215" s="1">
        <v>44</v>
      </c>
      <c r="I215" s="1" t="s">
        <v>30</v>
      </c>
      <c r="J215" s="1" t="s">
        <v>31</v>
      </c>
      <c r="K215" s="1" t="s">
        <v>32</v>
      </c>
      <c r="L215" t="str">
        <f>TEXT(Table2[[#This Row],[Order Date]],"YYY")</f>
        <v>2024</v>
      </c>
      <c r="M215" t="str">
        <f>TEXT(Table2[[#This Row],[Order Date]],"MMM")</f>
        <v>Feb</v>
      </c>
      <c r="N215" t="str">
        <f>TEXT(Table2[[#This Row],[Order Date]],"DDD")</f>
        <v>Wed</v>
      </c>
      <c r="O215">
        <f>DATEDIF(Table2[[#This Row],[Order Date]],Table2[[#This Row],[Delivered Date]],"D")</f>
        <v>13</v>
      </c>
      <c r="P215" s="10">
        <f>ROUND(Table2[[#This Row],[Quantity]]*Table2[[#This Row],[Unit Price]]*VLOOKUP(Table2[[#This Row],[Product Name]],Table_1[#All],2,FALSE),0)</f>
        <v>286</v>
      </c>
      <c r="Q215" s="10">
        <f>Table2[[#This Row],[Quantity]]*Table2[[#This Row],[Unit Price]]</f>
        <v>440</v>
      </c>
      <c r="R215" s="10">
        <f>Table2[[#This Row],[Sales Revenue]]-Table2[[#This Row],[Total Cost After Product Percentage Calc]]</f>
        <v>154</v>
      </c>
    </row>
    <row r="216" spans="1:18" ht="14.25" customHeight="1" x14ac:dyDescent="0.3">
      <c r="A216" s="1">
        <v>215</v>
      </c>
      <c r="B216" s="1" t="s">
        <v>265</v>
      </c>
      <c r="C216" s="1" t="s">
        <v>12</v>
      </c>
      <c r="D216" s="1" t="s">
        <v>62</v>
      </c>
      <c r="E216" s="2">
        <v>45314</v>
      </c>
      <c r="F216" s="4">
        <v>45327</v>
      </c>
      <c r="G216" s="1">
        <v>7</v>
      </c>
      <c r="H216" s="1">
        <v>459</v>
      </c>
      <c r="I216" s="1" t="s">
        <v>14</v>
      </c>
      <c r="J216" s="1" t="s">
        <v>15</v>
      </c>
      <c r="K216" s="1" t="s">
        <v>20</v>
      </c>
      <c r="L216" t="str">
        <f>TEXT(Table2[[#This Row],[Order Date]],"YYY")</f>
        <v>2024</v>
      </c>
      <c r="M216" t="str">
        <f>TEXT(Table2[[#This Row],[Order Date]],"MMM")</f>
        <v>Jan</v>
      </c>
      <c r="N216" t="str">
        <f>TEXT(Table2[[#This Row],[Order Date]],"DDD")</f>
        <v>Tue</v>
      </c>
      <c r="O216">
        <f>DATEDIF(Table2[[#This Row],[Order Date]],Table2[[#This Row],[Delivered Date]],"D")</f>
        <v>13</v>
      </c>
      <c r="P216" s="10">
        <f>ROUND(Table2[[#This Row],[Quantity]]*Table2[[#This Row],[Unit Price]]*VLOOKUP(Table2[[#This Row],[Product Name]],Table_1[#All],2,FALSE),0)</f>
        <v>2731</v>
      </c>
      <c r="Q216" s="10">
        <f>Table2[[#This Row],[Quantity]]*Table2[[#This Row],[Unit Price]]</f>
        <v>3213</v>
      </c>
      <c r="R216" s="10">
        <f>Table2[[#This Row],[Sales Revenue]]-Table2[[#This Row],[Total Cost After Product Percentage Calc]]</f>
        <v>482</v>
      </c>
    </row>
    <row r="217" spans="1:18" ht="14.25" customHeight="1" x14ac:dyDescent="0.3">
      <c r="A217" s="1">
        <v>216</v>
      </c>
      <c r="B217" s="1" t="s">
        <v>266</v>
      </c>
      <c r="C217" s="1" t="s">
        <v>18</v>
      </c>
      <c r="D217" s="1" t="s">
        <v>64</v>
      </c>
      <c r="E217" s="2">
        <v>45636</v>
      </c>
      <c r="F217" s="4">
        <v>45645</v>
      </c>
      <c r="G217" s="1">
        <v>6</v>
      </c>
      <c r="H217" s="1">
        <v>252</v>
      </c>
      <c r="I217" s="1" t="s">
        <v>30</v>
      </c>
      <c r="J217" s="1" t="s">
        <v>52</v>
      </c>
      <c r="K217" s="1" t="s">
        <v>32</v>
      </c>
      <c r="L217" t="str">
        <f>TEXT(Table2[[#This Row],[Order Date]],"YYY")</f>
        <v>2024</v>
      </c>
      <c r="M217" t="str">
        <f>TEXT(Table2[[#This Row],[Order Date]],"MMM")</f>
        <v>Dec</v>
      </c>
      <c r="N217" t="str">
        <f>TEXT(Table2[[#This Row],[Order Date]],"DDD")</f>
        <v>Tue</v>
      </c>
      <c r="O217">
        <f>DATEDIF(Table2[[#This Row],[Order Date]],Table2[[#This Row],[Delivered Date]],"D")</f>
        <v>9</v>
      </c>
      <c r="P217" s="10">
        <f>ROUND(Table2[[#This Row],[Quantity]]*Table2[[#This Row],[Unit Price]]*VLOOKUP(Table2[[#This Row],[Product Name]],Table_1[#All],2,FALSE),0)</f>
        <v>983</v>
      </c>
      <c r="Q217" s="10">
        <f>Table2[[#This Row],[Quantity]]*Table2[[#This Row],[Unit Price]]</f>
        <v>1512</v>
      </c>
      <c r="R217" s="10">
        <f>Table2[[#This Row],[Sales Revenue]]-Table2[[#This Row],[Total Cost After Product Percentage Calc]]</f>
        <v>529</v>
      </c>
    </row>
    <row r="218" spans="1:18" ht="14.25" customHeight="1" x14ac:dyDescent="0.3">
      <c r="A218" s="1">
        <v>217</v>
      </c>
      <c r="B218" s="1" t="s">
        <v>267</v>
      </c>
      <c r="C218" s="1" t="s">
        <v>18</v>
      </c>
      <c r="D218" s="1" t="s">
        <v>68</v>
      </c>
      <c r="E218" s="2">
        <v>45503</v>
      </c>
      <c r="F218" s="4">
        <v>45510</v>
      </c>
      <c r="G218" s="1">
        <v>5</v>
      </c>
      <c r="H218" s="1">
        <v>291</v>
      </c>
      <c r="I218" s="1" t="s">
        <v>30</v>
      </c>
      <c r="J218" s="1" t="s">
        <v>15</v>
      </c>
      <c r="K218" s="1" t="s">
        <v>32</v>
      </c>
      <c r="L218" t="str">
        <f>TEXT(Table2[[#This Row],[Order Date]],"YYY")</f>
        <v>2024</v>
      </c>
      <c r="M218" t="str">
        <f>TEXT(Table2[[#This Row],[Order Date]],"MMM")</f>
        <v>Jul</v>
      </c>
      <c r="N218" t="str">
        <f>TEXT(Table2[[#This Row],[Order Date]],"DDD")</f>
        <v>Tue</v>
      </c>
      <c r="O218">
        <f>DATEDIF(Table2[[#This Row],[Order Date]],Table2[[#This Row],[Delivered Date]],"D")</f>
        <v>7</v>
      </c>
      <c r="P218" s="10">
        <f>ROUND(Table2[[#This Row],[Quantity]]*Table2[[#This Row],[Unit Price]]*VLOOKUP(Table2[[#This Row],[Product Name]],Table_1[#All],2,FALSE),0)</f>
        <v>728</v>
      </c>
      <c r="Q218" s="10">
        <f>Table2[[#This Row],[Quantity]]*Table2[[#This Row],[Unit Price]]</f>
        <v>1455</v>
      </c>
      <c r="R218" s="10">
        <f>Table2[[#This Row],[Sales Revenue]]-Table2[[#This Row],[Total Cost After Product Percentage Calc]]</f>
        <v>727</v>
      </c>
    </row>
    <row r="219" spans="1:18" ht="14.25" customHeight="1" x14ac:dyDescent="0.3">
      <c r="A219" s="1">
        <v>218</v>
      </c>
      <c r="B219" s="1" t="s">
        <v>268</v>
      </c>
      <c r="C219" s="1" t="s">
        <v>22</v>
      </c>
      <c r="D219" s="1" t="s">
        <v>23</v>
      </c>
      <c r="E219" s="2">
        <v>45576</v>
      </c>
      <c r="F219" s="4">
        <v>45584</v>
      </c>
      <c r="G219" s="1">
        <v>8</v>
      </c>
      <c r="H219" s="1">
        <v>58</v>
      </c>
      <c r="I219" s="1" t="s">
        <v>30</v>
      </c>
      <c r="J219" s="1" t="s">
        <v>52</v>
      </c>
      <c r="K219" s="1" t="s">
        <v>49</v>
      </c>
      <c r="L219" t="str">
        <f>TEXT(Table2[[#This Row],[Order Date]],"YYY")</f>
        <v>2024</v>
      </c>
      <c r="M219" t="str">
        <f>TEXT(Table2[[#This Row],[Order Date]],"MMM")</f>
        <v>Oct</v>
      </c>
      <c r="N219" t="str">
        <f>TEXT(Table2[[#This Row],[Order Date]],"DDD")</f>
        <v>Fri</v>
      </c>
      <c r="O219">
        <f>DATEDIF(Table2[[#This Row],[Order Date]],Table2[[#This Row],[Delivered Date]],"D")</f>
        <v>8</v>
      </c>
      <c r="P219" s="10">
        <f>ROUND(Table2[[#This Row],[Quantity]]*Table2[[#This Row],[Unit Price]]*VLOOKUP(Table2[[#This Row],[Product Name]],Table_1[#All],2,FALSE),0)</f>
        <v>348</v>
      </c>
      <c r="Q219" s="10">
        <f>Table2[[#This Row],[Quantity]]*Table2[[#This Row],[Unit Price]]</f>
        <v>464</v>
      </c>
      <c r="R219" s="10">
        <f>Table2[[#This Row],[Sales Revenue]]-Table2[[#This Row],[Total Cost After Product Percentage Calc]]</f>
        <v>116</v>
      </c>
    </row>
    <row r="220" spans="1:18" ht="14.25" customHeight="1" x14ac:dyDescent="0.3">
      <c r="A220" s="1">
        <v>219</v>
      </c>
      <c r="B220" s="1" t="s">
        <v>269</v>
      </c>
      <c r="C220" s="1" t="s">
        <v>34</v>
      </c>
      <c r="D220" s="1" t="s">
        <v>54</v>
      </c>
      <c r="E220" s="2">
        <v>45501</v>
      </c>
      <c r="F220" s="4">
        <v>45513</v>
      </c>
      <c r="G220" s="1">
        <v>3</v>
      </c>
      <c r="H220" s="1">
        <v>317</v>
      </c>
      <c r="I220" s="1" t="s">
        <v>30</v>
      </c>
      <c r="J220" s="1" t="s">
        <v>31</v>
      </c>
      <c r="K220" s="1" t="s">
        <v>32</v>
      </c>
      <c r="L220" t="str">
        <f>TEXT(Table2[[#This Row],[Order Date]],"YYY")</f>
        <v>2024</v>
      </c>
      <c r="M220" t="str">
        <f>TEXT(Table2[[#This Row],[Order Date]],"MMM")</f>
        <v>Jul</v>
      </c>
      <c r="N220" t="str">
        <f>TEXT(Table2[[#This Row],[Order Date]],"DDD")</f>
        <v>Sun</v>
      </c>
      <c r="O220">
        <f>DATEDIF(Table2[[#This Row],[Order Date]],Table2[[#This Row],[Delivered Date]],"D")</f>
        <v>12</v>
      </c>
      <c r="P220" s="10">
        <f>ROUND(Table2[[#This Row],[Quantity]]*Table2[[#This Row],[Unit Price]]*VLOOKUP(Table2[[#This Row],[Product Name]],Table_1[#All],2,FALSE),0)</f>
        <v>666</v>
      </c>
      <c r="Q220" s="10">
        <f>Table2[[#This Row],[Quantity]]*Table2[[#This Row],[Unit Price]]</f>
        <v>951</v>
      </c>
      <c r="R220" s="10">
        <f>Table2[[#This Row],[Sales Revenue]]-Table2[[#This Row],[Total Cost After Product Percentage Calc]]</f>
        <v>285</v>
      </c>
    </row>
    <row r="221" spans="1:18" ht="14.25" customHeight="1" x14ac:dyDescent="0.3">
      <c r="A221" s="1">
        <v>220</v>
      </c>
      <c r="B221" s="1" t="s">
        <v>270</v>
      </c>
      <c r="C221" s="1" t="s">
        <v>12</v>
      </c>
      <c r="D221" s="1" t="s">
        <v>39</v>
      </c>
      <c r="E221" s="2">
        <v>45389</v>
      </c>
      <c r="F221" s="4">
        <v>45401</v>
      </c>
      <c r="G221" s="1">
        <v>1</v>
      </c>
      <c r="H221" s="1">
        <v>284</v>
      </c>
      <c r="I221" s="1" t="s">
        <v>30</v>
      </c>
      <c r="J221" s="1" t="s">
        <v>31</v>
      </c>
      <c r="K221" s="1" t="s">
        <v>16</v>
      </c>
      <c r="L221" t="str">
        <f>TEXT(Table2[[#This Row],[Order Date]],"YYY")</f>
        <v>2024</v>
      </c>
      <c r="M221" t="str">
        <f>TEXT(Table2[[#This Row],[Order Date]],"MMM")</f>
        <v>Apr</v>
      </c>
      <c r="N221" t="str">
        <f>TEXT(Table2[[#This Row],[Order Date]],"DDD")</f>
        <v>Sun</v>
      </c>
      <c r="O221">
        <f>DATEDIF(Table2[[#This Row],[Order Date]],Table2[[#This Row],[Delivered Date]],"D")</f>
        <v>12</v>
      </c>
      <c r="P221" s="10">
        <f>ROUND(Table2[[#This Row],[Quantity]]*Table2[[#This Row],[Unit Price]]*VLOOKUP(Table2[[#This Row],[Product Name]],Table_1[#All],2,FALSE),0)</f>
        <v>227</v>
      </c>
      <c r="Q221" s="10">
        <f>Table2[[#This Row],[Quantity]]*Table2[[#This Row],[Unit Price]]</f>
        <v>284</v>
      </c>
      <c r="R221" s="10">
        <f>Table2[[#This Row],[Sales Revenue]]-Table2[[#This Row],[Total Cost After Product Percentage Calc]]</f>
        <v>57</v>
      </c>
    </row>
    <row r="222" spans="1:18" ht="14.25" customHeight="1" x14ac:dyDescent="0.3">
      <c r="A222" s="1">
        <v>221</v>
      </c>
      <c r="B222" s="1" t="s">
        <v>271</v>
      </c>
      <c r="C222" s="1" t="s">
        <v>12</v>
      </c>
      <c r="D222" s="1" t="s">
        <v>13</v>
      </c>
      <c r="E222" s="2">
        <v>45388</v>
      </c>
      <c r="F222" s="4">
        <v>45391</v>
      </c>
      <c r="G222" s="1">
        <v>10</v>
      </c>
      <c r="H222" s="1">
        <v>751</v>
      </c>
      <c r="I222" s="1" t="s">
        <v>14</v>
      </c>
      <c r="J222" s="1" t="s">
        <v>36</v>
      </c>
      <c r="K222" s="1" t="s">
        <v>32</v>
      </c>
      <c r="L222" t="str">
        <f>TEXT(Table2[[#This Row],[Order Date]],"YYY")</f>
        <v>2024</v>
      </c>
      <c r="M222" t="str">
        <f>TEXT(Table2[[#This Row],[Order Date]],"MMM")</f>
        <v>Apr</v>
      </c>
      <c r="N222" t="str">
        <f>TEXT(Table2[[#This Row],[Order Date]],"DDD")</f>
        <v>Sat</v>
      </c>
      <c r="O222">
        <f>DATEDIF(Table2[[#This Row],[Order Date]],Table2[[#This Row],[Delivered Date]],"D")</f>
        <v>3</v>
      </c>
      <c r="P222" s="10">
        <f>ROUND(Table2[[#This Row],[Quantity]]*Table2[[#This Row],[Unit Price]]*VLOOKUP(Table2[[#This Row],[Product Name]],Table_1[#All],2,FALSE),0)</f>
        <v>5633</v>
      </c>
      <c r="Q222" s="10">
        <f>Table2[[#This Row],[Quantity]]*Table2[[#This Row],[Unit Price]]</f>
        <v>7510</v>
      </c>
      <c r="R222" s="10">
        <f>Table2[[#This Row],[Sales Revenue]]-Table2[[#This Row],[Total Cost After Product Percentage Calc]]</f>
        <v>1877</v>
      </c>
    </row>
    <row r="223" spans="1:18" ht="14.25" customHeight="1" x14ac:dyDescent="0.3">
      <c r="A223" s="1">
        <v>222</v>
      </c>
      <c r="B223" s="1" t="s">
        <v>272</v>
      </c>
      <c r="C223" s="1" t="s">
        <v>26</v>
      </c>
      <c r="D223" s="1" t="s">
        <v>104</v>
      </c>
      <c r="E223" s="2">
        <v>45462</v>
      </c>
      <c r="F223" s="4">
        <v>45476</v>
      </c>
      <c r="G223" s="1">
        <v>5</v>
      </c>
      <c r="H223" s="1">
        <v>989</v>
      </c>
      <c r="I223" s="1" t="s">
        <v>14</v>
      </c>
      <c r="J223" s="1" t="s">
        <v>15</v>
      </c>
      <c r="K223" s="1" t="s">
        <v>16</v>
      </c>
      <c r="L223" t="str">
        <f>TEXT(Table2[[#This Row],[Order Date]],"YYY")</f>
        <v>2024</v>
      </c>
      <c r="M223" t="str">
        <f>TEXT(Table2[[#This Row],[Order Date]],"MMM")</f>
        <v>Jun</v>
      </c>
      <c r="N223" t="str">
        <f>TEXT(Table2[[#This Row],[Order Date]],"DDD")</f>
        <v>Wed</v>
      </c>
      <c r="O223">
        <f>DATEDIF(Table2[[#This Row],[Order Date]],Table2[[#This Row],[Delivered Date]],"D")</f>
        <v>14</v>
      </c>
      <c r="P223" s="10">
        <f>ROUND(Table2[[#This Row],[Quantity]]*Table2[[#This Row],[Unit Price]]*VLOOKUP(Table2[[#This Row],[Product Name]],Table_1[#All],2,FALSE),0)</f>
        <v>2967</v>
      </c>
      <c r="Q223" s="10">
        <f>Table2[[#This Row],[Quantity]]*Table2[[#This Row],[Unit Price]]</f>
        <v>4945</v>
      </c>
      <c r="R223" s="10">
        <f>Table2[[#This Row],[Sales Revenue]]-Table2[[#This Row],[Total Cost After Product Percentage Calc]]</f>
        <v>1978</v>
      </c>
    </row>
    <row r="224" spans="1:18" ht="14.25" customHeight="1" x14ac:dyDescent="0.3">
      <c r="A224" s="1">
        <v>223</v>
      </c>
      <c r="B224" s="1" t="s">
        <v>273</v>
      </c>
      <c r="C224" s="1" t="s">
        <v>12</v>
      </c>
      <c r="D224" s="1" t="s">
        <v>29</v>
      </c>
      <c r="E224" s="2">
        <v>45416</v>
      </c>
      <c r="F224" s="4">
        <v>45429</v>
      </c>
      <c r="G224" s="1">
        <v>10</v>
      </c>
      <c r="H224" s="1">
        <v>730</v>
      </c>
      <c r="I224" s="1" t="s">
        <v>14</v>
      </c>
      <c r="J224" s="1" t="s">
        <v>15</v>
      </c>
      <c r="K224" s="1" t="s">
        <v>16</v>
      </c>
      <c r="L224" t="str">
        <f>TEXT(Table2[[#This Row],[Order Date]],"YYY")</f>
        <v>2024</v>
      </c>
      <c r="M224" t="str">
        <f>TEXT(Table2[[#This Row],[Order Date]],"MMM")</f>
        <v>May</v>
      </c>
      <c r="N224" t="str">
        <f>TEXT(Table2[[#This Row],[Order Date]],"DDD")</f>
        <v>Sat</v>
      </c>
      <c r="O224">
        <f>DATEDIF(Table2[[#This Row],[Order Date]],Table2[[#This Row],[Delivered Date]],"D")</f>
        <v>13</v>
      </c>
      <c r="P224" s="10">
        <f>ROUND(Table2[[#This Row],[Quantity]]*Table2[[#This Row],[Unit Price]]*VLOOKUP(Table2[[#This Row],[Product Name]],Table_1[#All],2,FALSE),0)</f>
        <v>4745</v>
      </c>
      <c r="Q224" s="10">
        <f>Table2[[#This Row],[Quantity]]*Table2[[#This Row],[Unit Price]]</f>
        <v>7300</v>
      </c>
      <c r="R224" s="10">
        <f>Table2[[#This Row],[Sales Revenue]]-Table2[[#This Row],[Total Cost After Product Percentage Calc]]</f>
        <v>2555</v>
      </c>
    </row>
    <row r="225" spans="1:18" ht="14.25" customHeight="1" x14ac:dyDescent="0.3">
      <c r="A225" s="1">
        <v>224</v>
      </c>
      <c r="B225" s="1" t="s">
        <v>274</v>
      </c>
      <c r="C225" s="1" t="s">
        <v>22</v>
      </c>
      <c r="D225" s="1" t="s">
        <v>87</v>
      </c>
      <c r="E225" s="2">
        <v>45452</v>
      </c>
      <c r="F225" s="4">
        <v>45462</v>
      </c>
      <c r="G225" s="1">
        <v>7</v>
      </c>
      <c r="H225" s="1">
        <v>56</v>
      </c>
      <c r="I225" s="1" t="s">
        <v>30</v>
      </c>
      <c r="J225" s="1" t="s">
        <v>36</v>
      </c>
      <c r="K225" s="1" t="s">
        <v>32</v>
      </c>
      <c r="L225" t="str">
        <f>TEXT(Table2[[#This Row],[Order Date]],"YYY")</f>
        <v>2024</v>
      </c>
      <c r="M225" t="str">
        <f>TEXT(Table2[[#This Row],[Order Date]],"MMM")</f>
        <v>Jun</v>
      </c>
      <c r="N225" t="str">
        <f>TEXT(Table2[[#This Row],[Order Date]],"DDD")</f>
        <v>Sun</v>
      </c>
      <c r="O225">
        <f>DATEDIF(Table2[[#This Row],[Order Date]],Table2[[#This Row],[Delivered Date]],"D")</f>
        <v>10</v>
      </c>
      <c r="P225" s="10">
        <f>ROUND(Table2[[#This Row],[Quantity]]*Table2[[#This Row],[Unit Price]]*VLOOKUP(Table2[[#This Row],[Product Name]],Table_1[#All],2,FALSE),0)</f>
        <v>314</v>
      </c>
      <c r="Q225" s="10">
        <f>Table2[[#This Row],[Quantity]]*Table2[[#This Row],[Unit Price]]</f>
        <v>392</v>
      </c>
      <c r="R225" s="10">
        <f>Table2[[#This Row],[Sales Revenue]]-Table2[[#This Row],[Total Cost After Product Percentage Calc]]</f>
        <v>78</v>
      </c>
    </row>
    <row r="226" spans="1:18" ht="14.25" customHeight="1" x14ac:dyDescent="0.3">
      <c r="A226" s="1">
        <v>225</v>
      </c>
      <c r="B226" s="1" t="s">
        <v>275</v>
      </c>
      <c r="C226" s="1" t="s">
        <v>22</v>
      </c>
      <c r="D226" s="1" t="s">
        <v>43</v>
      </c>
      <c r="E226" s="2">
        <v>45425</v>
      </c>
      <c r="F226" s="4">
        <v>45428</v>
      </c>
      <c r="G226" s="1">
        <v>9</v>
      </c>
      <c r="H226" s="1">
        <v>967</v>
      </c>
      <c r="I226" s="1" t="s">
        <v>30</v>
      </c>
      <c r="J226" s="1" t="s">
        <v>36</v>
      </c>
      <c r="K226" s="1" t="s">
        <v>16</v>
      </c>
      <c r="L226" t="str">
        <f>TEXT(Table2[[#This Row],[Order Date]],"YYY")</f>
        <v>2024</v>
      </c>
      <c r="M226" t="str">
        <f>TEXT(Table2[[#This Row],[Order Date]],"MMM")</f>
        <v>May</v>
      </c>
      <c r="N226" t="str">
        <f>TEXT(Table2[[#This Row],[Order Date]],"DDD")</f>
        <v>Mon</v>
      </c>
      <c r="O226">
        <f>DATEDIF(Table2[[#This Row],[Order Date]],Table2[[#This Row],[Delivered Date]],"D")</f>
        <v>3</v>
      </c>
      <c r="P226" s="10">
        <f>ROUND(Table2[[#This Row],[Quantity]]*Table2[[#This Row],[Unit Price]]*VLOOKUP(Table2[[#This Row],[Product Name]],Table_1[#All],2,FALSE),0)</f>
        <v>5657</v>
      </c>
      <c r="Q226" s="10">
        <f>Table2[[#This Row],[Quantity]]*Table2[[#This Row],[Unit Price]]</f>
        <v>8703</v>
      </c>
      <c r="R226" s="10">
        <f>Table2[[#This Row],[Sales Revenue]]-Table2[[#This Row],[Total Cost After Product Percentage Calc]]</f>
        <v>3046</v>
      </c>
    </row>
    <row r="227" spans="1:18" ht="14.25" customHeight="1" x14ac:dyDescent="0.3">
      <c r="A227" s="1">
        <v>226</v>
      </c>
      <c r="B227" s="1" t="s">
        <v>276</v>
      </c>
      <c r="C227" s="1" t="s">
        <v>26</v>
      </c>
      <c r="D227" s="1" t="s">
        <v>27</v>
      </c>
      <c r="E227" s="2">
        <v>45370</v>
      </c>
      <c r="F227" s="4">
        <v>45390</v>
      </c>
      <c r="G227" s="1">
        <v>4</v>
      </c>
      <c r="H227" s="1">
        <v>347</v>
      </c>
      <c r="I227" s="1" t="s">
        <v>30</v>
      </c>
      <c r="J227" s="1" t="s">
        <v>15</v>
      </c>
      <c r="K227" s="1" t="s">
        <v>20</v>
      </c>
      <c r="L227" t="str">
        <f>TEXT(Table2[[#This Row],[Order Date]],"YYY")</f>
        <v>2024</v>
      </c>
      <c r="M227" t="str">
        <f>TEXT(Table2[[#This Row],[Order Date]],"MMM")</f>
        <v>Mar</v>
      </c>
      <c r="N227" t="str">
        <f>TEXT(Table2[[#This Row],[Order Date]],"DDD")</f>
        <v>Tue</v>
      </c>
      <c r="O227">
        <f>DATEDIF(Table2[[#This Row],[Order Date]],Table2[[#This Row],[Delivered Date]],"D")</f>
        <v>20</v>
      </c>
      <c r="P227" s="10">
        <f>ROUND(Table2[[#This Row],[Quantity]]*Table2[[#This Row],[Unit Price]]*VLOOKUP(Table2[[#This Row],[Product Name]],Table_1[#All],2,FALSE),0)</f>
        <v>763</v>
      </c>
      <c r="Q227" s="10">
        <f>Table2[[#This Row],[Quantity]]*Table2[[#This Row],[Unit Price]]</f>
        <v>1388</v>
      </c>
      <c r="R227" s="10">
        <f>Table2[[#This Row],[Sales Revenue]]-Table2[[#This Row],[Total Cost After Product Percentage Calc]]</f>
        <v>625</v>
      </c>
    </row>
    <row r="228" spans="1:18" ht="14.25" customHeight="1" x14ac:dyDescent="0.3">
      <c r="A228" s="1">
        <v>227</v>
      </c>
      <c r="B228" s="1" t="s">
        <v>277</v>
      </c>
      <c r="C228" s="1" t="s">
        <v>22</v>
      </c>
      <c r="D228" s="1" t="s">
        <v>23</v>
      </c>
      <c r="E228" s="2">
        <v>45573</v>
      </c>
      <c r="F228" s="4">
        <v>45582</v>
      </c>
      <c r="G228" s="1">
        <v>6</v>
      </c>
      <c r="H228" s="1">
        <v>273</v>
      </c>
      <c r="I228" s="1" t="s">
        <v>30</v>
      </c>
      <c r="J228" s="1" t="s">
        <v>24</v>
      </c>
      <c r="K228" s="1" t="s">
        <v>49</v>
      </c>
      <c r="L228" t="str">
        <f>TEXT(Table2[[#This Row],[Order Date]],"YYY")</f>
        <v>2024</v>
      </c>
      <c r="M228" t="str">
        <f>TEXT(Table2[[#This Row],[Order Date]],"MMM")</f>
        <v>Oct</v>
      </c>
      <c r="N228" t="str">
        <f>TEXT(Table2[[#This Row],[Order Date]],"DDD")</f>
        <v>Tue</v>
      </c>
      <c r="O228">
        <f>DATEDIF(Table2[[#This Row],[Order Date]],Table2[[#This Row],[Delivered Date]],"D")</f>
        <v>9</v>
      </c>
      <c r="P228" s="10">
        <f>ROUND(Table2[[#This Row],[Quantity]]*Table2[[#This Row],[Unit Price]]*VLOOKUP(Table2[[#This Row],[Product Name]],Table_1[#All],2,FALSE),0)</f>
        <v>1229</v>
      </c>
      <c r="Q228" s="10">
        <f>Table2[[#This Row],[Quantity]]*Table2[[#This Row],[Unit Price]]</f>
        <v>1638</v>
      </c>
      <c r="R228" s="10">
        <f>Table2[[#This Row],[Sales Revenue]]-Table2[[#This Row],[Total Cost After Product Percentage Calc]]</f>
        <v>409</v>
      </c>
    </row>
    <row r="229" spans="1:18" ht="14.25" customHeight="1" x14ac:dyDescent="0.3">
      <c r="A229" s="1">
        <v>228</v>
      </c>
      <c r="B229" s="1" t="s">
        <v>278</v>
      </c>
      <c r="C229" s="1" t="s">
        <v>22</v>
      </c>
      <c r="D229" s="1" t="s">
        <v>56</v>
      </c>
      <c r="E229" s="2">
        <v>45620</v>
      </c>
      <c r="F229" s="4">
        <v>45623</v>
      </c>
      <c r="G229" s="1">
        <v>1</v>
      </c>
      <c r="H229" s="1">
        <v>546</v>
      </c>
      <c r="I229" s="1" t="s">
        <v>30</v>
      </c>
      <c r="J229" s="1" t="s">
        <v>15</v>
      </c>
      <c r="K229" s="1" t="s">
        <v>32</v>
      </c>
      <c r="L229" t="str">
        <f>TEXT(Table2[[#This Row],[Order Date]],"YYY")</f>
        <v>2024</v>
      </c>
      <c r="M229" t="str">
        <f>TEXT(Table2[[#This Row],[Order Date]],"MMM")</f>
        <v>Nov</v>
      </c>
      <c r="N229" t="str">
        <f>TEXT(Table2[[#This Row],[Order Date]],"DDD")</f>
        <v>Sun</v>
      </c>
      <c r="O229">
        <f>DATEDIF(Table2[[#This Row],[Order Date]],Table2[[#This Row],[Delivered Date]],"D")</f>
        <v>3</v>
      </c>
      <c r="P229" s="10">
        <f>ROUND(Table2[[#This Row],[Quantity]]*Table2[[#This Row],[Unit Price]]*VLOOKUP(Table2[[#This Row],[Product Name]],Table_1[#All],2,FALSE),0)</f>
        <v>382</v>
      </c>
      <c r="Q229" s="10">
        <f>Table2[[#This Row],[Quantity]]*Table2[[#This Row],[Unit Price]]</f>
        <v>546</v>
      </c>
      <c r="R229" s="10">
        <f>Table2[[#This Row],[Sales Revenue]]-Table2[[#This Row],[Total Cost After Product Percentage Calc]]</f>
        <v>164</v>
      </c>
    </row>
    <row r="230" spans="1:18" ht="14.25" customHeight="1" x14ac:dyDescent="0.3">
      <c r="A230" s="1">
        <v>229</v>
      </c>
      <c r="B230" s="1" t="s">
        <v>279</v>
      </c>
      <c r="C230" s="1" t="s">
        <v>12</v>
      </c>
      <c r="D230" s="1" t="s">
        <v>13</v>
      </c>
      <c r="E230" s="2">
        <v>45503</v>
      </c>
      <c r="F230" s="4">
        <v>45514</v>
      </c>
      <c r="G230" s="1">
        <v>3</v>
      </c>
      <c r="H230" s="1">
        <v>872</v>
      </c>
      <c r="I230" s="1" t="s">
        <v>14</v>
      </c>
      <c r="J230" s="1" t="s">
        <v>36</v>
      </c>
      <c r="K230" s="1" t="s">
        <v>32</v>
      </c>
      <c r="L230" t="str">
        <f>TEXT(Table2[[#This Row],[Order Date]],"YYY")</f>
        <v>2024</v>
      </c>
      <c r="M230" t="str">
        <f>TEXT(Table2[[#This Row],[Order Date]],"MMM")</f>
        <v>Jul</v>
      </c>
      <c r="N230" t="str">
        <f>TEXT(Table2[[#This Row],[Order Date]],"DDD")</f>
        <v>Tue</v>
      </c>
      <c r="O230">
        <f>DATEDIF(Table2[[#This Row],[Order Date]],Table2[[#This Row],[Delivered Date]],"D")</f>
        <v>11</v>
      </c>
      <c r="P230" s="10">
        <f>ROUND(Table2[[#This Row],[Quantity]]*Table2[[#This Row],[Unit Price]]*VLOOKUP(Table2[[#This Row],[Product Name]],Table_1[#All],2,FALSE),0)</f>
        <v>1962</v>
      </c>
      <c r="Q230" s="10">
        <f>Table2[[#This Row],[Quantity]]*Table2[[#This Row],[Unit Price]]</f>
        <v>2616</v>
      </c>
      <c r="R230" s="10">
        <f>Table2[[#This Row],[Sales Revenue]]-Table2[[#This Row],[Total Cost After Product Percentage Calc]]</f>
        <v>654</v>
      </c>
    </row>
    <row r="231" spans="1:18" ht="14.25" customHeight="1" x14ac:dyDescent="0.3">
      <c r="A231" s="1">
        <v>230</v>
      </c>
      <c r="B231" s="1" t="s">
        <v>280</v>
      </c>
      <c r="C231" s="1" t="s">
        <v>22</v>
      </c>
      <c r="D231" s="1" t="s">
        <v>43</v>
      </c>
      <c r="E231" s="2">
        <v>45403</v>
      </c>
      <c r="F231" s="4">
        <v>45410</v>
      </c>
      <c r="G231" s="1">
        <v>9</v>
      </c>
      <c r="H231" s="1">
        <v>476</v>
      </c>
      <c r="I231" s="1" t="s">
        <v>30</v>
      </c>
      <c r="J231" s="1" t="s">
        <v>52</v>
      </c>
      <c r="K231" s="1" t="s">
        <v>49</v>
      </c>
      <c r="L231" t="str">
        <f>TEXT(Table2[[#This Row],[Order Date]],"YYY")</f>
        <v>2024</v>
      </c>
      <c r="M231" t="str">
        <f>TEXT(Table2[[#This Row],[Order Date]],"MMM")</f>
        <v>Apr</v>
      </c>
      <c r="N231" t="str">
        <f>TEXT(Table2[[#This Row],[Order Date]],"DDD")</f>
        <v>Sun</v>
      </c>
      <c r="O231">
        <f>DATEDIF(Table2[[#This Row],[Order Date]],Table2[[#This Row],[Delivered Date]],"D")</f>
        <v>7</v>
      </c>
      <c r="P231" s="10">
        <f>ROUND(Table2[[#This Row],[Quantity]]*Table2[[#This Row],[Unit Price]]*VLOOKUP(Table2[[#This Row],[Product Name]],Table_1[#All],2,FALSE),0)</f>
        <v>2785</v>
      </c>
      <c r="Q231" s="10">
        <f>Table2[[#This Row],[Quantity]]*Table2[[#This Row],[Unit Price]]</f>
        <v>4284</v>
      </c>
      <c r="R231" s="10">
        <f>Table2[[#This Row],[Sales Revenue]]-Table2[[#This Row],[Total Cost After Product Percentage Calc]]</f>
        <v>1499</v>
      </c>
    </row>
    <row r="232" spans="1:18" ht="14.25" customHeight="1" x14ac:dyDescent="0.3">
      <c r="A232" s="1">
        <v>231</v>
      </c>
      <c r="B232" s="1" t="s">
        <v>281</v>
      </c>
      <c r="C232" s="1" t="s">
        <v>18</v>
      </c>
      <c r="D232" s="1" t="s">
        <v>47</v>
      </c>
      <c r="E232" s="2">
        <v>45629</v>
      </c>
      <c r="F232" s="4">
        <v>45638</v>
      </c>
      <c r="G232" s="1">
        <v>8</v>
      </c>
      <c r="H232" s="1">
        <v>26</v>
      </c>
      <c r="I232" s="1" t="s">
        <v>30</v>
      </c>
      <c r="J232" s="1" t="s">
        <v>15</v>
      </c>
      <c r="K232" s="1" t="s">
        <v>32</v>
      </c>
      <c r="L232" t="str">
        <f>TEXT(Table2[[#This Row],[Order Date]],"YYY")</f>
        <v>2024</v>
      </c>
      <c r="M232" t="str">
        <f>TEXT(Table2[[#This Row],[Order Date]],"MMM")</f>
        <v>Dec</v>
      </c>
      <c r="N232" t="str">
        <f>TEXT(Table2[[#This Row],[Order Date]],"DDD")</f>
        <v>Tue</v>
      </c>
      <c r="O232">
        <f>DATEDIF(Table2[[#This Row],[Order Date]],Table2[[#This Row],[Delivered Date]],"D")</f>
        <v>9</v>
      </c>
      <c r="P232" s="10">
        <f>ROUND(Table2[[#This Row],[Quantity]]*Table2[[#This Row],[Unit Price]]*VLOOKUP(Table2[[#This Row],[Product Name]],Table_1[#All],2,FALSE),0)</f>
        <v>125</v>
      </c>
      <c r="Q232" s="10">
        <f>Table2[[#This Row],[Quantity]]*Table2[[#This Row],[Unit Price]]</f>
        <v>208</v>
      </c>
      <c r="R232" s="10">
        <f>Table2[[#This Row],[Sales Revenue]]-Table2[[#This Row],[Total Cost After Product Percentage Calc]]</f>
        <v>83</v>
      </c>
    </row>
    <row r="233" spans="1:18" ht="14.25" customHeight="1" x14ac:dyDescent="0.3">
      <c r="A233" s="1">
        <v>232</v>
      </c>
      <c r="B233" s="1" t="s">
        <v>282</v>
      </c>
      <c r="C233" s="1" t="s">
        <v>12</v>
      </c>
      <c r="D233" s="1" t="s">
        <v>39</v>
      </c>
      <c r="E233" s="2">
        <v>45649</v>
      </c>
      <c r="F233" s="4">
        <v>45662</v>
      </c>
      <c r="G233" s="1">
        <v>7</v>
      </c>
      <c r="H233" s="1">
        <v>835</v>
      </c>
      <c r="I233" s="1" t="s">
        <v>14</v>
      </c>
      <c r="J233" s="1" t="s">
        <v>15</v>
      </c>
      <c r="K233" s="1" t="s">
        <v>49</v>
      </c>
      <c r="L233" t="str">
        <f>TEXT(Table2[[#This Row],[Order Date]],"YYY")</f>
        <v>2024</v>
      </c>
      <c r="M233" t="str">
        <f>TEXT(Table2[[#This Row],[Order Date]],"MMM")</f>
        <v>Dec</v>
      </c>
      <c r="N233" t="str">
        <f>TEXT(Table2[[#This Row],[Order Date]],"DDD")</f>
        <v>Mon</v>
      </c>
      <c r="O233">
        <f>DATEDIF(Table2[[#This Row],[Order Date]],Table2[[#This Row],[Delivered Date]],"D")</f>
        <v>13</v>
      </c>
      <c r="P233" s="10">
        <f>ROUND(Table2[[#This Row],[Quantity]]*Table2[[#This Row],[Unit Price]]*VLOOKUP(Table2[[#This Row],[Product Name]],Table_1[#All],2,FALSE),0)</f>
        <v>4676</v>
      </c>
      <c r="Q233" s="10">
        <f>Table2[[#This Row],[Quantity]]*Table2[[#This Row],[Unit Price]]</f>
        <v>5845</v>
      </c>
      <c r="R233" s="10">
        <f>Table2[[#This Row],[Sales Revenue]]-Table2[[#This Row],[Total Cost After Product Percentage Calc]]</f>
        <v>1169</v>
      </c>
    </row>
    <row r="234" spans="1:18" ht="14.25" customHeight="1" x14ac:dyDescent="0.3">
      <c r="A234" s="1">
        <v>233</v>
      </c>
      <c r="B234" s="1" t="s">
        <v>283</v>
      </c>
      <c r="C234" s="1" t="s">
        <v>34</v>
      </c>
      <c r="D234" s="1" t="s">
        <v>54</v>
      </c>
      <c r="E234" s="2">
        <v>45332</v>
      </c>
      <c r="F234" s="4">
        <v>45345</v>
      </c>
      <c r="G234" s="1">
        <v>6</v>
      </c>
      <c r="H234" s="1">
        <v>992</v>
      </c>
      <c r="I234" s="1" t="s">
        <v>30</v>
      </c>
      <c r="J234" s="1" t="s">
        <v>31</v>
      </c>
      <c r="K234" s="1" t="s">
        <v>16</v>
      </c>
      <c r="L234" t="str">
        <f>TEXT(Table2[[#This Row],[Order Date]],"YYY")</f>
        <v>2024</v>
      </c>
      <c r="M234" t="str">
        <f>TEXT(Table2[[#This Row],[Order Date]],"MMM")</f>
        <v>Feb</v>
      </c>
      <c r="N234" t="str">
        <f>TEXT(Table2[[#This Row],[Order Date]],"DDD")</f>
        <v>Sat</v>
      </c>
      <c r="O234">
        <f>DATEDIF(Table2[[#This Row],[Order Date]],Table2[[#This Row],[Delivered Date]],"D")</f>
        <v>13</v>
      </c>
      <c r="P234" s="10">
        <f>ROUND(Table2[[#This Row],[Quantity]]*Table2[[#This Row],[Unit Price]]*VLOOKUP(Table2[[#This Row],[Product Name]],Table_1[#All],2,FALSE),0)</f>
        <v>4166</v>
      </c>
      <c r="Q234" s="10">
        <f>Table2[[#This Row],[Quantity]]*Table2[[#This Row],[Unit Price]]</f>
        <v>5952</v>
      </c>
      <c r="R234" s="10">
        <f>Table2[[#This Row],[Sales Revenue]]-Table2[[#This Row],[Total Cost After Product Percentage Calc]]</f>
        <v>1786</v>
      </c>
    </row>
    <row r="235" spans="1:18" ht="14.25" customHeight="1" x14ac:dyDescent="0.3">
      <c r="A235" s="1">
        <v>234</v>
      </c>
      <c r="B235" s="1" t="s">
        <v>284</v>
      </c>
      <c r="C235" s="1" t="s">
        <v>22</v>
      </c>
      <c r="D235" s="1" t="s">
        <v>58</v>
      </c>
      <c r="E235" s="2">
        <v>45445</v>
      </c>
      <c r="F235" s="4">
        <v>45454</v>
      </c>
      <c r="G235" s="1">
        <v>2</v>
      </c>
      <c r="H235" s="1">
        <v>679</v>
      </c>
      <c r="I235" s="1" t="s">
        <v>14</v>
      </c>
      <c r="J235" s="1" t="s">
        <v>24</v>
      </c>
      <c r="K235" s="1" t="s">
        <v>16</v>
      </c>
      <c r="L235" t="str">
        <f>TEXT(Table2[[#This Row],[Order Date]],"YYY")</f>
        <v>2024</v>
      </c>
      <c r="M235" t="str">
        <f>TEXT(Table2[[#This Row],[Order Date]],"MMM")</f>
        <v>Jun</v>
      </c>
      <c r="N235" t="str">
        <f>TEXT(Table2[[#This Row],[Order Date]],"DDD")</f>
        <v>Sun</v>
      </c>
      <c r="O235">
        <f>DATEDIF(Table2[[#This Row],[Order Date]],Table2[[#This Row],[Delivered Date]],"D")</f>
        <v>9</v>
      </c>
      <c r="P235" s="10">
        <f>ROUND(Table2[[#This Row],[Quantity]]*Table2[[#This Row],[Unit Price]]*VLOOKUP(Table2[[#This Row],[Product Name]],Table_1[#All],2,FALSE),0)</f>
        <v>951</v>
      </c>
      <c r="Q235" s="10">
        <f>Table2[[#This Row],[Quantity]]*Table2[[#This Row],[Unit Price]]</f>
        <v>1358</v>
      </c>
      <c r="R235" s="10">
        <f>Table2[[#This Row],[Sales Revenue]]-Table2[[#This Row],[Total Cost After Product Percentage Calc]]</f>
        <v>407</v>
      </c>
    </row>
    <row r="236" spans="1:18" ht="14.25" customHeight="1" x14ac:dyDescent="0.3">
      <c r="A236" s="1">
        <v>235</v>
      </c>
      <c r="B236" s="1" t="s">
        <v>285</v>
      </c>
      <c r="C236" s="1" t="s">
        <v>26</v>
      </c>
      <c r="D236" s="1" t="s">
        <v>41</v>
      </c>
      <c r="E236" s="2">
        <v>45485</v>
      </c>
      <c r="F236" s="4">
        <v>45498</v>
      </c>
      <c r="G236" s="1">
        <v>9</v>
      </c>
      <c r="H236" s="1">
        <v>497</v>
      </c>
      <c r="I236" s="1" t="s">
        <v>30</v>
      </c>
      <c r="J236" s="1" t="s">
        <v>15</v>
      </c>
      <c r="K236" s="1" t="s">
        <v>49</v>
      </c>
      <c r="L236" t="str">
        <f>TEXT(Table2[[#This Row],[Order Date]],"YYY")</f>
        <v>2024</v>
      </c>
      <c r="M236" t="str">
        <f>TEXT(Table2[[#This Row],[Order Date]],"MMM")</f>
        <v>Jul</v>
      </c>
      <c r="N236" t="str">
        <f>TEXT(Table2[[#This Row],[Order Date]],"DDD")</f>
        <v>Fri</v>
      </c>
      <c r="O236">
        <f>DATEDIF(Table2[[#This Row],[Order Date]],Table2[[#This Row],[Delivered Date]],"D")</f>
        <v>13</v>
      </c>
      <c r="P236" s="10">
        <f>ROUND(Table2[[#This Row],[Quantity]]*Table2[[#This Row],[Unit Price]]*VLOOKUP(Table2[[#This Row],[Product Name]],Table_1[#All],2,FALSE),0)</f>
        <v>2237</v>
      </c>
      <c r="Q236" s="10">
        <f>Table2[[#This Row],[Quantity]]*Table2[[#This Row],[Unit Price]]</f>
        <v>4473</v>
      </c>
      <c r="R236" s="10">
        <f>Table2[[#This Row],[Sales Revenue]]-Table2[[#This Row],[Total Cost After Product Percentage Calc]]</f>
        <v>2236</v>
      </c>
    </row>
    <row r="237" spans="1:18" ht="14.25" customHeight="1" x14ac:dyDescent="0.3">
      <c r="A237" s="1">
        <v>236</v>
      </c>
      <c r="B237" s="1" t="s">
        <v>286</v>
      </c>
      <c r="C237" s="1" t="s">
        <v>22</v>
      </c>
      <c r="D237" s="1" t="s">
        <v>43</v>
      </c>
      <c r="E237" s="2">
        <v>45547</v>
      </c>
      <c r="F237" s="4">
        <v>45555</v>
      </c>
      <c r="G237" s="1">
        <v>7</v>
      </c>
      <c r="H237" s="1">
        <v>670</v>
      </c>
      <c r="I237" s="1" t="s">
        <v>30</v>
      </c>
      <c r="J237" s="1" t="s">
        <v>24</v>
      </c>
      <c r="K237" s="1" t="s">
        <v>49</v>
      </c>
      <c r="L237" t="str">
        <f>TEXT(Table2[[#This Row],[Order Date]],"YYY")</f>
        <v>2024</v>
      </c>
      <c r="M237" t="str">
        <f>TEXT(Table2[[#This Row],[Order Date]],"MMM")</f>
        <v>Sep</v>
      </c>
      <c r="N237" t="str">
        <f>TEXT(Table2[[#This Row],[Order Date]],"DDD")</f>
        <v>Thu</v>
      </c>
      <c r="O237">
        <f>DATEDIF(Table2[[#This Row],[Order Date]],Table2[[#This Row],[Delivered Date]],"D")</f>
        <v>8</v>
      </c>
      <c r="P237" s="10">
        <f>ROUND(Table2[[#This Row],[Quantity]]*Table2[[#This Row],[Unit Price]]*VLOOKUP(Table2[[#This Row],[Product Name]],Table_1[#All],2,FALSE),0)</f>
        <v>3049</v>
      </c>
      <c r="Q237" s="10">
        <f>Table2[[#This Row],[Quantity]]*Table2[[#This Row],[Unit Price]]</f>
        <v>4690</v>
      </c>
      <c r="R237" s="10">
        <f>Table2[[#This Row],[Sales Revenue]]-Table2[[#This Row],[Total Cost After Product Percentage Calc]]</f>
        <v>1641</v>
      </c>
    </row>
    <row r="238" spans="1:18" ht="14.25" customHeight="1" x14ac:dyDescent="0.3">
      <c r="A238" s="1">
        <v>237</v>
      </c>
      <c r="B238" s="1" t="s">
        <v>287</v>
      </c>
      <c r="C238" s="1" t="s">
        <v>34</v>
      </c>
      <c r="D238" s="1" t="s">
        <v>80</v>
      </c>
      <c r="E238" s="2">
        <v>45330</v>
      </c>
      <c r="F238" s="4">
        <v>45343</v>
      </c>
      <c r="G238" s="1">
        <v>5</v>
      </c>
      <c r="H238" s="1">
        <v>930</v>
      </c>
      <c r="I238" s="1" t="s">
        <v>30</v>
      </c>
      <c r="J238" s="1" t="s">
        <v>36</v>
      </c>
      <c r="K238" s="1" t="s">
        <v>20</v>
      </c>
      <c r="L238" t="str">
        <f>TEXT(Table2[[#This Row],[Order Date]],"YYY")</f>
        <v>2024</v>
      </c>
      <c r="M238" t="str">
        <f>TEXT(Table2[[#This Row],[Order Date]],"MMM")</f>
        <v>Feb</v>
      </c>
      <c r="N238" t="str">
        <f>TEXT(Table2[[#This Row],[Order Date]],"DDD")</f>
        <v>Thu</v>
      </c>
      <c r="O238">
        <f>DATEDIF(Table2[[#This Row],[Order Date]],Table2[[#This Row],[Delivered Date]],"D")</f>
        <v>13</v>
      </c>
      <c r="P238" s="10">
        <f>ROUND(Table2[[#This Row],[Quantity]]*Table2[[#This Row],[Unit Price]]*VLOOKUP(Table2[[#This Row],[Product Name]],Table_1[#All],2,FALSE),0)</f>
        <v>3488</v>
      </c>
      <c r="Q238" s="10">
        <f>Table2[[#This Row],[Quantity]]*Table2[[#This Row],[Unit Price]]</f>
        <v>4650</v>
      </c>
      <c r="R238" s="10">
        <f>Table2[[#This Row],[Sales Revenue]]-Table2[[#This Row],[Total Cost After Product Percentage Calc]]</f>
        <v>1162</v>
      </c>
    </row>
    <row r="239" spans="1:18" ht="14.25" customHeight="1" x14ac:dyDescent="0.3">
      <c r="A239" s="1">
        <v>238</v>
      </c>
      <c r="B239" s="1" t="s">
        <v>288</v>
      </c>
      <c r="C239" s="1" t="s">
        <v>12</v>
      </c>
      <c r="D239" s="1" t="s">
        <v>62</v>
      </c>
      <c r="E239" s="2">
        <v>45453</v>
      </c>
      <c r="F239" s="4">
        <v>45462</v>
      </c>
      <c r="G239" s="1">
        <v>1</v>
      </c>
      <c r="H239" s="1">
        <v>994</v>
      </c>
      <c r="I239" s="1" t="s">
        <v>14</v>
      </c>
      <c r="J239" s="1" t="s">
        <v>15</v>
      </c>
      <c r="K239" s="1" t="s">
        <v>16</v>
      </c>
      <c r="L239" t="str">
        <f>TEXT(Table2[[#This Row],[Order Date]],"YYY")</f>
        <v>2024</v>
      </c>
      <c r="M239" t="str">
        <f>TEXT(Table2[[#This Row],[Order Date]],"MMM")</f>
        <v>Jun</v>
      </c>
      <c r="N239" t="str">
        <f>TEXT(Table2[[#This Row],[Order Date]],"DDD")</f>
        <v>Mon</v>
      </c>
      <c r="O239">
        <f>DATEDIF(Table2[[#This Row],[Order Date]],Table2[[#This Row],[Delivered Date]],"D")</f>
        <v>9</v>
      </c>
      <c r="P239" s="10">
        <f>ROUND(Table2[[#This Row],[Quantity]]*Table2[[#This Row],[Unit Price]]*VLOOKUP(Table2[[#This Row],[Product Name]],Table_1[#All],2,FALSE),0)</f>
        <v>845</v>
      </c>
      <c r="Q239" s="10">
        <f>Table2[[#This Row],[Quantity]]*Table2[[#This Row],[Unit Price]]</f>
        <v>994</v>
      </c>
      <c r="R239" s="10">
        <f>Table2[[#This Row],[Sales Revenue]]-Table2[[#This Row],[Total Cost After Product Percentage Calc]]</f>
        <v>149</v>
      </c>
    </row>
    <row r="240" spans="1:18" ht="14.25" customHeight="1" x14ac:dyDescent="0.3">
      <c r="A240" s="1">
        <v>239</v>
      </c>
      <c r="B240" s="1" t="s">
        <v>289</v>
      </c>
      <c r="C240" s="1" t="s">
        <v>18</v>
      </c>
      <c r="D240" s="1" t="s">
        <v>60</v>
      </c>
      <c r="E240" s="2">
        <v>45488</v>
      </c>
      <c r="F240" s="4">
        <v>45501</v>
      </c>
      <c r="G240" s="1">
        <v>3</v>
      </c>
      <c r="H240" s="1">
        <v>819</v>
      </c>
      <c r="I240" s="1" t="s">
        <v>30</v>
      </c>
      <c r="J240" s="1" t="s">
        <v>36</v>
      </c>
      <c r="K240" s="1" t="s">
        <v>16</v>
      </c>
      <c r="L240" t="str">
        <f>TEXT(Table2[[#This Row],[Order Date]],"YYY")</f>
        <v>2024</v>
      </c>
      <c r="M240" t="str">
        <f>TEXT(Table2[[#This Row],[Order Date]],"MMM")</f>
        <v>Jul</v>
      </c>
      <c r="N240" t="str">
        <f>TEXT(Table2[[#This Row],[Order Date]],"DDD")</f>
        <v>Mon</v>
      </c>
      <c r="O240">
        <f>DATEDIF(Table2[[#This Row],[Order Date]],Table2[[#This Row],[Delivered Date]],"D")</f>
        <v>13</v>
      </c>
      <c r="P240" s="10">
        <f>ROUND(Table2[[#This Row],[Quantity]]*Table2[[#This Row],[Unit Price]]*VLOOKUP(Table2[[#This Row],[Product Name]],Table_1[#All],2,FALSE),0)</f>
        <v>1351</v>
      </c>
      <c r="Q240" s="10">
        <f>Table2[[#This Row],[Quantity]]*Table2[[#This Row],[Unit Price]]</f>
        <v>2457</v>
      </c>
      <c r="R240" s="10">
        <f>Table2[[#This Row],[Sales Revenue]]-Table2[[#This Row],[Total Cost After Product Percentage Calc]]</f>
        <v>1106</v>
      </c>
    </row>
    <row r="241" spans="1:18" ht="14.25" customHeight="1" x14ac:dyDescent="0.3">
      <c r="A241" s="1">
        <v>240</v>
      </c>
      <c r="B241" s="1" t="s">
        <v>290</v>
      </c>
      <c r="C241" s="1" t="s">
        <v>18</v>
      </c>
      <c r="D241" s="1" t="s">
        <v>64</v>
      </c>
      <c r="E241" s="2">
        <v>45596</v>
      </c>
      <c r="F241" s="4">
        <v>45610</v>
      </c>
      <c r="G241" s="1">
        <v>7</v>
      </c>
      <c r="H241" s="1">
        <v>802</v>
      </c>
      <c r="I241" s="1" t="s">
        <v>30</v>
      </c>
      <c r="J241" s="1" t="s">
        <v>52</v>
      </c>
      <c r="K241" s="1" t="s">
        <v>20</v>
      </c>
      <c r="L241" t="str">
        <f>TEXT(Table2[[#This Row],[Order Date]],"YYY")</f>
        <v>2024</v>
      </c>
      <c r="M241" t="str">
        <f>TEXT(Table2[[#This Row],[Order Date]],"MMM")</f>
        <v>Oct</v>
      </c>
      <c r="N241" t="str">
        <f>TEXT(Table2[[#This Row],[Order Date]],"DDD")</f>
        <v>Thu</v>
      </c>
      <c r="O241">
        <f>DATEDIF(Table2[[#This Row],[Order Date]],Table2[[#This Row],[Delivered Date]],"D")</f>
        <v>14</v>
      </c>
      <c r="P241" s="10">
        <f>ROUND(Table2[[#This Row],[Quantity]]*Table2[[#This Row],[Unit Price]]*VLOOKUP(Table2[[#This Row],[Product Name]],Table_1[#All],2,FALSE),0)</f>
        <v>3649</v>
      </c>
      <c r="Q241" s="10">
        <f>Table2[[#This Row],[Quantity]]*Table2[[#This Row],[Unit Price]]</f>
        <v>5614</v>
      </c>
      <c r="R241" s="10">
        <f>Table2[[#This Row],[Sales Revenue]]-Table2[[#This Row],[Total Cost After Product Percentage Calc]]</f>
        <v>1965</v>
      </c>
    </row>
    <row r="242" spans="1:18" ht="14.25" customHeight="1" x14ac:dyDescent="0.3">
      <c r="A242" s="1">
        <v>241</v>
      </c>
      <c r="B242" s="1" t="s">
        <v>291</v>
      </c>
      <c r="C242" s="1" t="s">
        <v>22</v>
      </c>
      <c r="D242" s="1" t="s">
        <v>43</v>
      </c>
      <c r="E242" s="2">
        <v>45334</v>
      </c>
      <c r="F242" s="4">
        <v>45345</v>
      </c>
      <c r="G242" s="1">
        <v>5</v>
      </c>
      <c r="H242" s="1">
        <v>167</v>
      </c>
      <c r="I242" s="1" t="s">
        <v>30</v>
      </c>
      <c r="J242" s="1" t="s">
        <v>31</v>
      </c>
      <c r="K242" s="1" t="s">
        <v>32</v>
      </c>
      <c r="L242" t="str">
        <f>TEXT(Table2[[#This Row],[Order Date]],"YYY")</f>
        <v>2024</v>
      </c>
      <c r="M242" t="str">
        <f>TEXT(Table2[[#This Row],[Order Date]],"MMM")</f>
        <v>Feb</v>
      </c>
      <c r="N242" t="str">
        <f>TEXT(Table2[[#This Row],[Order Date]],"DDD")</f>
        <v>Mon</v>
      </c>
      <c r="O242">
        <f>DATEDIF(Table2[[#This Row],[Order Date]],Table2[[#This Row],[Delivered Date]],"D")</f>
        <v>11</v>
      </c>
      <c r="P242" s="10">
        <f>ROUND(Table2[[#This Row],[Quantity]]*Table2[[#This Row],[Unit Price]]*VLOOKUP(Table2[[#This Row],[Product Name]],Table_1[#All],2,FALSE),0)</f>
        <v>543</v>
      </c>
      <c r="Q242" s="10">
        <f>Table2[[#This Row],[Quantity]]*Table2[[#This Row],[Unit Price]]</f>
        <v>835</v>
      </c>
      <c r="R242" s="10">
        <f>Table2[[#This Row],[Sales Revenue]]-Table2[[#This Row],[Total Cost After Product Percentage Calc]]</f>
        <v>292</v>
      </c>
    </row>
    <row r="243" spans="1:18" ht="14.25" customHeight="1" x14ac:dyDescent="0.3">
      <c r="A243" s="1">
        <v>242</v>
      </c>
      <c r="B243" s="1" t="s">
        <v>292</v>
      </c>
      <c r="C243" s="1" t="s">
        <v>18</v>
      </c>
      <c r="D243" s="1" t="s">
        <v>19</v>
      </c>
      <c r="E243" s="2">
        <v>45597</v>
      </c>
      <c r="F243" s="4">
        <v>45602</v>
      </c>
      <c r="G243" s="1">
        <v>10</v>
      </c>
      <c r="H243" s="1">
        <v>813</v>
      </c>
      <c r="I243" s="1" t="s">
        <v>14</v>
      </c>
      <c r="J243" s="1" t="s">
        <v>52</v>
      </c>
      <c r="K243" s="1" t="s">
        <v>16</v>
      </c>
      <c r="L243" t="str">
        <f>TEXT(Table2[[#This Row],[Order Date]],"YYY")</f>
        <v>2024</v>
      </c>
      <c r="M243" t="str">
        <f>TEXT(Table2[[#This Row],[Order Date]],"MMM")</f>
        <v>Nov</v>
      </c>
      <c r="N243" t="str">
        <f>TEXT(Table2[[#This Row],[Order Date]],"DDD")</f>
        <v>Fri</v>
      </c>
      <c r="O243">
        <f>DATEDIF(Table2[[#This Row],[Order Date]],Table2[[#This Row],[Delivered Date]],"D")</f>
        <v>5</v>
      </c>
      <c r="P243" s="10">
        <f>ROUND(Table2[[#This Row],[Quantity]]*Table2[[#This Row],[Unit Price]]*VLOOKUP(Table2[[#This Row],[Product Name]],Table_1[#All],2,FALSE),0)</f>
        <v>4065</v>
      </c>
      <c r="Q243" s="10">
        <f>Table2[[#This Row],[Quantity]]*Table2[[#This Row],[Unit Price]]</f>
        <v>8130</v>
      </c>
      <c r="R243" s="10">
        <f>Table2[[#This Row],[Sales Revenue]]-Table2[[#This Row],[Total Cost After Product Percentage Calc]]</f>
        <v>4065</v>
      </c>
    </row>
    <row r="244" spans="1:18" ht="14.25" customHeight="1" x14ac:dyDescent="0.3">
      <c r="A244" s="1">
        <v>243</v>
      </c>
      <c r="B244" s="1" t="s">
        <v>293</v>
      </c>
      <c r="C244" s="1" t="s">
        <v>34</v>
      </c>
      <c r="D244" s="1" t="s">
        <v>54</v>
      </c>
      <c r="E244" s="2">
        <v>45490</v>
      </c>
      <c r="F244" s="4">
        <v>45496</v>
      </c>
      <c r="G244" s="1">
        <v>2</v>
      </c>
      <c r="H244" s="1">
        <v>752</v>
      </c>
      <c r="I244" s="1" t="s">
        <v>30</v>
      </c>
      <c r="J244" s="1" t="s">
        <v>36</v>
      </c>
      <c r="K244" s="1" t="s">
        <v>20</v>
      </c>
      <c r="L244" t="str">
        <f>TEXT(Table2[[#This Row],[Order Date]],"YYY")</f>
        <v>2024</v>
      </c>
      <c r="M244" t="str">
        <f>TEXT(Table2[[#This Row],[Order Date]],"MMM")</f>
        <v>Jul</v>
      </c>
      <c r="N244" t="str">
        <f>TEXT(Table2[[#This Row],[Order Date]],"DDD")</f>
        <v>Wed</v>
      </c>
      <c r="O244">
        <f>DATEDIF(Table2[[#This Row],[Order Date]],Table2[[#This Row],[Delivered Date]],"D")</f>
        <v>6</v>
      </c>
      <c r="P244" s="10">
        <f>ROUND(Table2[[#This Row],[Quantity]]*Table2[[#This Row],[Unit Price]]*VLOOKUP(Table2[[#This Row],[Product Name]],Table_1[#All],2,FALSE),0)</f>
        <v>1053</v>
      </c>
      <c r="Q244" s="10">
        <f>Table2[[#This Row],[Quantity]]*Table2[[#This Row],[Unit Price]]</f>
        <v>1504</v>
      </c>
      <c r="R244" s="10">
        <f>Table2[[#This Row],[Sales Revenue]]-Table2[[#This Row],[Total Cost After Product Percentage Calc]]</f>
        <v>451</v>
      </c>
    </row>
    <row r="245" spans="1:18" ht="14.25" customHeight="1" x14ac:dyDescent="0.3">
      <c r="A245" s="1">
        <v>244</v>
      </c>
      <c r="B245" s="1" t="s">
        <v>294</v>
      </c>
      <c r="C245" s="1" t="s">
        <v>34</v>
      </c>
      <c r="D245" s="1" t="s">
        <v>54</v>
      </c>
      <c r="E245" s="2">
        <v>45331</v>
      </c>
      <c r="F245" s="4">
        <v>45335</v>
      </c>
      <c r="G245" s="1">
        <v>6</v>
      </c>
      <c r="H245" s="1">
        <v>267</v>
      </c>
      <c r="I245" s="1" t="s">
        <v>30</v>
      </c>
      <c r="J245" s="1" t="s">
        <v>295</v>
      </c>
      <c r="K245" s="1" t="s">
        <v>32</v>
      </c>
      <c r="L245" t="str">
        <f>TEXT(Table2[[#This Row],[Order Date]],"YYY")</f>
        <v>2024</v>
      </c>
      <c r="M245" t="str">
        <f>TEXT(Table2[[#This Row],[Order Date]],"MMM")</f>
        <v>Feb</v>
      </c>
      <c r="N245" t="str">
        <f>TEXT(Table2[[#This Row],[Order Date]],"DDD")</f>
        <v>Fri</v>
      </c>
      <c r="O245">
        <f>DATEDIF(Table2[[#This Row],[Order Date]],Table2[[#This Row],[Delivered Date]],"D")</f>
        <v>4</v>
      </c>
      <c r="P245" s="10">
        <f>ROUND(Table2[[#This Row],[Quantity]]*Table2[[#This Row],[Unit Price]]*VLOOKUP(Table2[[#This Row],[Product Name]],Table_1[#All],2,FALSE),0)</f>
        <v>1121</v>
      </c>
      <c r="Q245" s="10">
        <f>Table2[[#This Row],[Quantity]]*Table2[[#This Row],[Unit Price]]</f>
        <v>1602</v>
      </c>
      <c r="R245" s="10">
        <f>Table2[[#This Row],[Sales Revenue]]-Table2[[#This Row],[Total Cost After Product Percentage Calc]]</f>
        <v>481</v>
      </c>
    </row>
    <row r="246" spans="1:18" ht="14.25" customHeight="1" x14ac:dyDescent="0.3">
      <c r="A246" s="1">
        <v>245</v>
      </c>
      <c r="B246" s="1" t="s">
        <v>296</v>
      </c>
      <c r="C246" s="1" t="s">
        <v>34</v>
      </c>
      <c r="D246" s="1" t="s">
        <v>35</v>
      </c>
      <c r="E246" s="2">
        <v>45486</v>
      </c>
      <c r="F246" s="4">
        <v>45492</v>
      </c>
      <c r="G246" s="1">
        <v>6</v>
      </c>
      <c r="H246" s="1">
        <v>460</v>
      </c>
      <c r="I246" s="1" t="s">
        <v>30</v>
      </c>
      <c r="J246" s="1" t="s">
        <v>52</v>
      </c>
      <c r="K246" s="1" t="s">
        <v>16</v>
      </c>
      <c r="L246" t="str">
        <f>TEXT(Table2[[#This Row],[Order Date]],"YYY")</f>
        <v>2024</v>
      </c>
      <c r="M246" t="str">
        <f>TEXT(Table2[[#This Row],[Order Date]],"MMM")</f>
        <v>Jul</v>
      </c>
      <c r="N246" t="str">
        <f>TEXT(Table2[[#This Row],[Order Date]],"DDD")</f>
        <v>Sat</v>
      </c>
      <c r="O246">
        <f>DATEDIF(Table2[[#This Row],[Order Date]],Table2[[#This Row],[Delivered Date]],"D")</f>
        <v>6</v>
      </c>
      <c r="P246" s="10">
        <f>ROUND(Table2[[#This Row],[Quantity]]*Table2[[#This Row],[Unit Price]]*VLOOKUP(Table2[[#This Row],[Product Name]],Table_1[#All],2,FALSE),0)</f>
        <v>2070</v>
      </c>
      <c r="Q246" s="10">
        <f>Table2[[#This Row],[Quantity]]*Table2[[#This Row],[Unit Price]]</f>
        <v>2760</v>
      </c>
      <c r="R246" s="10">
        <f>Table2[[#This Row],[Sales Revenue]]-Table2[[#This Row],[Total Cost After Product Percentage Calc]]</f>
        <v>690</v>
      </c>
    </row>
    <row r="247" spans="1:18" ht="14.25" customHeight="1" x14ac:dyDescent="0.3">
      <c r="A247" s="1">
        <v>246</v>
      </c>
      <c r="B247" s="1" t="s">
        <v>297</v>
      </c>
      <c r="C247" s="1" t="s">
        <v>34</v>
      </c>
      <c r="D247" s="1" t="s">
        <v>45</v>
      </c>
      <c r="E247" s="2">
        <v>45495</v>
      </c>
      <c r="F247" s="4">
        <v>45498</v>
      </c>
      <c r="G247" s="1">
        <v>6</v>
      </c>
      <c r="H247" s="1">
        <v>308</v>
      </c>
      <c r="I247" s="1" t="s">
        <v>30</v>
      </c>
      <c r="J247" s="1" t="s">
        <v>298</v>
      </c>
      <c r="K247" s="1" t="s">
        <v>32</v>
      </c>
      <c r="L247" t="str">
        <f>TEXT(Table2[[#This Row],[Order Date]],"YYY")</f>
        <v>2024</v>
      </c>
      <c r="M247" t="str">
        <f>TEXT(Table2[[#This Row],[Order Date]],"MMM")</f>
        <v>Jul</v>
      </c>
      <c r="N247" t="str">
        <f>TEXT(Table2[[#This Row],[Order Date]],"DDD")</f>
        <v>Mon</v>
      </c>
      <c r="O247">
        <f>DATEDIF(Table2[[#This Row],[Order Date]],Table2[[#This Row],[Delivered Date]],"D")</f>
        <v>3</v>
      </c>
      <c r="P247" s="10">
        <f>ROUND(Table2[[#This Row],[Quantity]]*Table2[[#This Row],[Unit Price]]*VLOOKUP(Table2[[#This Row],[Product Name]],Table_1[#All],2,FALSE),0)</f>
        <v>1201</v>
      </c>
      <c r="Q247" s="10">
        <f>Table2[[#This Row],[Quantity]]*Table2[[#This Row],[Unit Price]]</f>
        <v>1848</v>
      </c>
      <c r="R247" s="10">
        <f>Table2[[#This Row],[Sales Revenue]]-Table2[[#This Row],[Total Cost After Product Percentage Calc]]</f>
        <v>647</v>
      </c>
    </row>
    <row r="248" spans="1:18" ht="14.25" customHeight="1" x14ac:dyDescent="0.3">
      <c r="A248" s="1">
        <v>247</v>
      </c>
      <c r="B248" s="1" t="s">
        <v>299</v>
      </c>
      <c r="C248" s="1" t="s">
        <v>12</v>
      </c>
      <c r="D248" s="1" t="s">
        <v>39</v>
      </c>
      <c r="E248" s="2">
        <v>45394</v>
      </c>
      <c r="F248" s="4">
        <v>45403</v>
      </c>
      <c r="G248" s="1">
        <v>10</v>
      </c>
      <c r="H248" s="1">
        <v>568</v>
      </c>
      <c r="I248" s="1" t="s">
        <v>14</v>
      </c>
      <c r="J248" s="1" t="s">
        <v>295</v>
      </c>
      <c r="K248" s="1" t="s">
        <v>49</v>
      </c>
      <c r="L248" t="str">
        <f>TEXT(Table2[[#This Row],[Order Date]],"YYY")</f>
        <v>2024</v>
      </c>
      <c r="M248" t="str">
        <f>TEXT(Table2[[#This Row],[Order Date]],"MMM")</f>
        <v>Apr</v>
      </c>
      <c r="N248" t="str">
        <f>TEXT(Table2[[#This Row],[Order Date]],"DDD")</f>
        <v>Fri</v>
      </c>
      <c r="O248">
        <f>DATEDIF(Table2[[#This Row],[Order Date]],Table2[[#This Row],[Delivered Date]],"D")</f>
        <v>9</v>
      </c>
      <c r="P248" s="10">
        <f>ROUND(Table2[[#This Row],[Quantity]]*Table2[[#This Row],[Unit Price]]*VLOOKUP(Table2[[#This Row],[Product Name]],Table_1[#All],2,FALSE),0)</f>
        <v>4544</v>
      </c>
      <c r="Q248" s="10">
        <f>Table2[[#This Row],[Quantity]]*Table2[[#This Row],[Unit Price]]</f>
        <v>5680</v>
      </c>
      <c r="R248" s="10">
        <f>Table2[[#This Row],[Sales Revenue]]-Table2[[#This Row],[Total Cost After Product Percentage Calc]]</f>
        <v>1136</v>
      </c>
    </row>
    <row r="249" spans="1:18" ht="14.25" customHeight="1" x14ac:dyDescent="0.3">
      <c r="A249" s="1">
        <v>248</v>
      </c>
      <c r="B249" s="1" t="s">
        <v>300</v>
      </c>
      <c r="C249" s="1" t="s">
        <v>26</v>
      </c>
      <c r="D249" s="1" t="s">
        <v>104</v>
      </c>
      <c r="E249" s="2">
        <v>45616</v>
      </c>
      <c r="F249" s="4">
        <v>45638</v>
      </c>
      <c r="G249" s="1">
        <v>5</v>
      </c>
      <c r="H249" s="1">
        <v>257</v>
      </c>
      <c r="I249" s="1" t="s">
        <v>30</v>
      </c>
      <c r="J249" s="1" t="s">
        <v>52</v>
      </c>
      <c r="K249" s="1" t="s">
        <v>49</v>
      </c>
      <c r="L249" t="str">
        <f>TEXT(Table2[[#This Row],[Order Date]],"YYY")</f>
        <v>2024</v>
      </c>
      <c r="M249" t="str">
        <f>TEXT(Table2[[#This Row],[Order Date]],"MMM")</f>
        <v>Nov</v>
      </c>
      <c r="N249" t="str">
        <f>TEXT(Table2[[#This Row],[Order Date]],"DDD")</f>
        <v>Wed</v>
      </c>
      <c r="O249">
        <f>DATEDIF(Table2[[#This Row],[Order Date]],Table2[[#This Row],[Delivered Date]],"D")</f>
        <v>22</v>
      </c>
      <c r="P249" s="10">
        <f>ROUND(Table2[[#This Row],[Quantity]]*Table2[[#This Row],[Unit Price]]*VLOOKUP(Table2[[#This Row],[Product Name]],Table_1[#All],2,FALSE),0)</f>
        <v>771</v>
      </c>
      <c r="Q249" s="10">
        <f>Table2[[#This Row],[Quantity]]*Table2[[#This Row],[Unit Price]]</f>
        <v>1285</v>
      </c>
      <c r="R249" s="10">
        <f>Table2[[#This Row],[Sales Revenue]]-Table2[[#This Row],[Total Cost After Product Percentage Calc]]</f>
        <v>514</v>
      </c>
    </row>
    <row r="250" spans="1:18" ht="14.25" customHeight="1" x14ac:dyDescent="0.3">
      <c r="A250" s="1">
        <v>249</v>
      </c>
      <c r="B250" s="1" t="s">
        <v>301</v>
      </c>
      <c r="C250" s="1" t="s">
        <v>18</v>
      </c>
      <c r="D250" s="1" t="s">
        <v>64</v>
      </c>
      <c r="E250" s="2">
        <v>45646</v>
      </c>
      <c r="F250" s="4">
        <v>45654</v>
      </c>
      <c r="G250" s="1">
        <v>7</v>
      </c>
      <c r="H250" s="1">
        <v>566</v>
      </c>
      <c r="I250" s="1" t="s">
        <v>30</v>
      </c>
      <c r="J250" s="1" t="s">
        <v>295</v>
      </c>
      <c r="K250" s="1" t="s">
        <v>16</v>
      </c>
      <c r="L250" t="str">
        <f>TEXT(Table2[[#This Row],[Order Date]],"YYY")</f>
        <v>2024</v>
      </c>
      <c r="M250" t="str">
        <f>TEXT(Table2[[#This Row],[Order Date]],"MMM")</f>
        <v>Dec</v>
      </c>
      <c r="N250" t="str">
        <f>TEXT(Table2[[#This Row],[Order Date]],"DDD")</f>
        <v>Fri</v>
      </c>
      <c r="O250">
        <f>DATEDIF(Table2[[#This Row],[Order Date]],Table2[[#This Row],[Delivered Date]],"D")</f>
        <v>8</v>
      </c>
      <c r="P250" s="10">
        <f>ROUND(Table2[[#This Row],[Quantity]]*Table2[[#This Row],[Unit Price]]*VLOOKUP(Table2[[#This Row],[Product Name]],Table_1[#All],2,FALSE),0)</f>
        <v>2575</v>
      </c>
      <c r="Q250" s="10">
        <f>Table2[[#This Row],[Quantity]]*Table2[[#This Row],[Unit Price]]</f>
        <v>3962</v>
      </c>
      <c r="R250" s="10">
        <f>Table2[[#This Row],[Sales Revenue]]-Table2[[#This Row],[Total Cost After Product Percentage Calc]]</f>
        <v>1387</v>
      </c>
    </row>
    <row r="251" spans="1:18" ht="14.25" customHeight="1" x14ac:dyDescent="0.3">
      <c r="A251" s="1">
        <v>250</v>
      </c>
      <c r="B251" s="1" t="s">
        <v>302</v>
      </c>
      <c r="C251" s="1" t="s">
        <v>18</v>
      </c>
      <c r="D251" s="1" t="s">
        <v>64</v>
      </c>
      <c r="E251" s="2">
        <v>45618</v>
      </c>
      <c r="F251" s="4">
        <v>45631</v>
      </c>
      <c r="G251" s="1">
        <v>2</v>
      </c>
      <c r="H251" s="1">
        <v>121</v>
      </c>
      <c r="I251" s="1" t="s">
        <v>30</v>
      </c>
      <c r="J251" s="1" t="s">
        <v>24</v>
      </c>
      <c r="K251" s="1" t="s">
        <v>49</v>
      </c>
      <c r="L251" t="str">
        <f>TEXT(Table2[[#This Row],[Order Date]],"YYY")</f>
        <v>2024</v>
      </c>
      <c r="M251" t="str">
        <f>TEXT(Table2[[#This Row],[Order Date]],"MMM")</f>
        <v>Nov</v>
      </c>
      <c r="N251" t="str">
        <f>TEXT(Table2[[#This Row],[Order Date]],"DDD")</f>
        <v>Fri</v>
      </c>
      <c r="O251">
        <f>DATEDIF(Table2[[#This Row],[Order Date]],Table2[[#This Row],[Delivered Date]],"D")</f>
        <v>13</v>
      </c>
      <c r="P251" s="10">
        <f>ROUND(Table2[[#This Row],[Quantity]]*Table2[[#This Row],[Unit Price]]*VLOOKUP(Table2[[#This Row],[Product Name]],Table_1[#All],2,FALSE),0)</f>
        <v>157</v>
      </c>
      <c r="Q251" s="10">
        <f>Table2[[#This Row],[Quantity]]*Table2[[#This Row],[Unit Price]]</f>
        <v>242</v>
      </c>
      <c r="R251" s="10">
        <f>Table2[[#This Row],[Sales Revenue]]-Table2[[#This Row],[Total Cost After Product Percentage Calc]]</f>
        <v>85</v>
      </c>
    </row>
    <row r="252" spans="1:18" ht="14.25" customHeight="1" x14ac:dyDescent="0.3">
      <c r="A252" s="1">
        <v>251</v>
      </c>
      <c r="B252" s="1" t="s">
        <v>303</v>
      </c>
      <c r="C252" s="1" t="s">
        <v>26</v>
      </c>
      <c r="D252" s="1" t="s">
        <v>119</v>
      </c>
      <c r="E252" s="2">
        <v>45297</v>
      </c>
      <c r="F252" s="4">
        <v>45305</v>
      </c>
      <c r="G252" s="1">
        <v>2</v>
      </c>
      <c r="H252" s="1">
        <v>274</v>
      </c>
      <c r="I252" s="1" t="s">
        <v>30</v>
      </c>
      <c r="J252" s="1" t="s">
        <v>295</v>
      </c>
      <c r="K252" s="1" t="s">
        <v>20</v>
      </c>
      <c r="L252" t="str">
        <f>TEXT(Table2[[#This Row],[Order Date]],"YYY")</f>
        <v>2024</v>
      </c>
      <c r="M252" t="str">
        <f>TEXT(Table2[[#This Row],[Order Date]],"MMM")</f>
        <v>Jan</v>
      </c>
      <c r="N252" t="str">
        <f>TEXT(Table2[[#This Row],[Order Date]],"DDD")</f>
        <v>Sat</v>
      </c>
      <c r="O252">
        <f>DATEDIF(Table2[[#This Row],[Order Date]],Table2[[#This Row],[Delivered Date]],"D")</f>
        <v>8</v>
      </c>
      <c r="P252" s="10">
        <f>ROUND(Table2[[#This Row],[Quantity]]*Table2[[#This Row],[Unit Price]]*VLOOKUP(Table2[[#This Row],[Product Name]],Table_1[#All],2,FALSE),0)</f>
        <v>329</v>
      </c>
      <c r="Q252" s="10">
        <f>Table2[[#This Row],[Quantity]]*Table2[[#This Row],[Unit Price]]</f>
        <v>548</v>
      </c>
      <c r="R252" s="10">
        <f>Table2[[#This Row],[Sales Revenue]]-Table2[[#This Row],[Total Cost After Product Percentage Calc]]</f>
        <v>219</v>
      </c>
    </row>
    <row r="253" spans="1:18" ht="14.25" customHeight="1" x14ac:dyDescent="0.3">
      <c r="A253" s="1">
        <v>252</v>
      </c>
      <c r="B253" s="1" t="s">
        <v>304</v>
      </c>
      <c r="C253" s="1" t="s">
        <v>12</v>
      </c>
      <c r="D253" s="1" t="s">
        <v>29</v>
      </c>
      <c r="E253" s="2">
        <v>45648</v>
      </c>
      <c r="F253" s="4">
        <v>45656</v>
      </c>
      <c r="G253" s="1">
        <v>8</v>
      </c>
      <c r="H253" s="1">
        <v>336</v>
      </c>
      <c r="I253" s="1" t="s">
        <v>14</v>
      </c>
      <c r="J253" s="1" t="s">
        <v>295</v>
      </c>
      <c r="K253" s="1" t="s">
        <v>20</v>
      </c>
      <c r="L253" t="str">
        <f>TEXT(Table2[[#This Row],[Order Date]],"YYY")</f>
        <v>2024</v>
      </c>
      <c r="M253" t="str">
        <f>TEXT(Table2[[#This Row],[Order Date]],"MMM")</f>
        <v>Dec</v>
      </c>
      <c r="N253" t="str">
        <f>TEXT(Table2[[#This Row],[Order Date]],"DDD")</f>
        <v>Sun</v>
      </c>
      <c r="O253">
        <f>DATEDIF(Table2[[#This Row],[Order Date]],Table2[[#This Row],[Delivered Date]],"D")</f>
        <v>8</v>
      </c>
      <c r="P253" s="10">
        <f>ROUND(Table2[[#This Row],[Quantity]]*Table2[[#This Row],[Unit Price]]*VLOOKUP(Table2[[#This Row],[Product Name]],Table_1[#All],2,FALSE),0)</f>
        <v>1747</v>
      </c>
      <c r="Q253" s="10">
        <f>Table2[[#This Row],[Quantity]]*Table2[[#This Row],[Unit Price]]</f>
        <v>2688</v>
      </c>
      <c r="R253" s="10">
        <f>Table2[[#This Row],[Sales Revenue]]-Table2[[#This Row],[Total Cost After Product Percentage Calc]]</f>
        <v>941</v>
      </c>
    </row>
    <row r="254" spans="1:18" ht="14.25" customHeight="1" x14ac:dyDescent="0.3">
      <c r="A254" s="1">
        <v>253</v>
      </c>
      <c r="B254" s="1" t="s">
        <v>305</v>
      </c>
      <c r="C254" s="1" t="s">
        <v>12</v>
      </c>
      <c r="D254" s="1" t="s">
        <v>13</v>
      </c>
      <c r="E254" s="2">
        <v>45467</v>
      </c>
      <c r="F254" s="4">
        <v>45472</v>
      </c>
      <c r="G254" s="1">
        <v>2</v>
      </c>
      <c r="H254" s="1">
        <v>703</v>
      </c>
      <c r="I254" s="1" t="s">
        <v>30</v>
      </c>
      <c r="J254" s="1" t="s">
        <v>24</v>
      </c>
      <c r="K254" s="1" t="s">
        <v>32</v>
      </c>
      <c r="L254" t="str">
        <f>TEXT(Table2[[#This Row],[Order Date]],"YYY")</f>
        <v>2024</v>
      </c>
      <c r="M254" t="str">
        <f>TEXT(Table2[[#This Row],[Order Date]],"MMM")</f>
        <v>Jun</v>
      </c>
      <c r="N254" t="str">
        <f>TEXT(Table2[[#This Row],[Order Date]],"DDD")</f>
        <v>Mon</v>
      </c>
      <c r="O254">
        <f>DATEDIF(Table2[[#This Row],[Order Date]],Table2[[#This Row],[Delivered Date]],"D")</f>
        <v>5</v>
      </c>
      <c r="P254" s="10">
        <f>ROUND(Table2[[#This Row],[Quantity]]*Table2[[#This Row],[Unit Price]]*VLOOKUP(Table2[[#This Row],[Product Name]],Table_1[#All],2,FALSE),0)</f>
        <v>1055</v>
      </c>
      <c r="Q254" s="10">
        <f>Table2[[#This Row],[Quantity]]*Table2[[#This Row],[Unit Price]]</f>
        <v>1406</v>
      </c>
      <c r="R254" s="10">
        <f>Table2[[#This Row],[Sales Revenue]]-Table2[[#This Row],[Total Cost After Product Percentage Calc]]</f>
        <v>351</v>
      </c>
    </row>
    <row r="255" spans="1:18" ht="14.25" customHeight="1" x14ac:dyDescent="0.3">
      <c r="A255" s="1">
        <v>254</v>
      </c>
      <c r="B255" s="1" t="s">
        <v>306</v>
      </c>
      <c r="C255" s="1" t="s">
        <v>12</v>
      </c>
      <c r="D255" s="1" t="s">
        <v>39</v>
      </c>
      <c r="E255" s="2">
        <v>45393</v>
      </c>
      <c r="F255" s="4">
        <v>45403</v>
      </c>
      <c r="G255" s="1">
        <v>8</v>
      </c>
      <c r="H255" s="1">
        <v>616</v>
      </c>
      <c r="I255" s="1" t="s">
        <v>14</v>
      </c>
      <c r="J255" s="1" t="s">
        <v>31</v>
      </c>
      <c r="K255" s="1" t="s">
        <v>32</v>
      </c>
      <c r="L255" t="str">
        <f>TEXT(Table2[[#This Row],[Order Date]],"YYY")</f>
        <v>2024</v>
      </c>
      <c r="M255" t="str">
        <f>TEXT(Table2[[#This Row],[Order Date]],"MMM")</f>
        <v>Apr</v>
      </c>
      <c r="N255" t="str">
        <f>TEXT(Table2[[#This Row],[Order Date]],"DDD")</f>
        <v>Thu</v>
      </c>
      <c r="O255">
        <f>DATEDIF(Table2[[#This Row],[Order Date]],Table2[[#This Row],[Delivered Date]],"D")</f>
        <v>10</v>
      </c>
      <c r="P255" s="10">
        <f>ROUND(Table2[[#This Row],[Quantity]]*Table2[[#This Row],[Unit Price]]*VLOOKUP(Table2[[#This Row],[Product Name]],Table_1[#All],2,FALSE),0)</f>
        <v>3942</v>
      </c>
      <c r="Q255" s="10">
        <f>Table2[[#This Row],[Quantity]]*Table2[[#This Row],[Unit Price]]</f>
        <v>4928</v>
      </c>
      <c r="R255" s="10">
        <f>Table2[[#This Row],[Sales Revenue]]-Table2[[#This Row],[Total Cost After Product Percentage Calc]]</f>
        <v>986</v>
      </c>
    </row>
    <row r="256" spans="1:18" ht="14.25" customHeight="1" x14ac:dyDescent="0.3">
      <c r="A256" s="1">
        <v>255</v>
      </c>
      <c r="B256" s="1" t="s">
        <v>307</v>
      </c>
      <c r="C256" s="1" t="s">
        <v>22</v>
      </c>
      <c r="D256" s="1" t="s">
        <v>58</v>
      </c>
      <c r="E256" s="2">
        <v>45434</v>
      </c>
      <c r="F256" s="4">
        <v>45448</v>
      </c>
      <c r="G256" s="1">
        <v>2</v>
      </c>
      <c r="H256" s="1">
        <v>601</v>
      </c>
      <c r="I256" s="1" t="s">
        <v>14</v>
      </c>
      <c r="J256" s="1" t="s">
        <v>295</v>
      </c>
      <c r="K256" s="1" t="s">
        <v>20</v>
      </c>
      <c r="L256" t="str">
        <f>TEXT(Table2[[#This Row],[Order Date]],"YYY")</f>
        <v>2024</v>
      </c>
      <c r="M256" t="str">
        <f>TEXT(Table2[[#This Row],[Order Date]],"MMM")</f>
        <v>May</v>
      </c>
      <c r="N256" t="str">
        <f>TEXT(Table2[[#This Row],[Order Date]],"DDD")</f>
        <v>Wed</v>
      </c>
      <c r="O256">
        <f>DATEDIF(Table2[[#This Row],[Order Date]],Table2[[#This Row],[Delivered Date]],"D")</f>
        <v>14</v>
      </c>
      <c r="P256" s="10">
        <f>ROUND(Table2[[#This Row],[Quantity]]*Table2[[#This Row],[Unit Price]]*VLOOKUP(Table2[[#This Row],[Product Name]],Table_1[#All],2,FALSE),0)</f>
        <v>841</v>
      </c>
      <c r="Q256" s="10">
        <f>Table2[[#This Row],[Quantity]]*Table2[[#This Row],[Unit Price]]</f>
        <v>1202</v>
      </c>
      <c r="R256" s="10">
        <f>Table2[[#This Row],[Sales Revenue]]-Table2[[#This Row],[Total Cost After Product Percentage Calc]]</f>
        <v>361</v>
      </c>
    </row>
    <row r="257" spans="1:18" ht="14.25" customHeight="1" x14ac:dyDescent="0.3">
      <c r="A257" s="1">
        <v>256</v>
      </c>
      <c r="B257" s="1" t="s">
        <v>308</v>
      </c>
      <c r="C257" s="1" t="s">
        <v>34</v>
      </c>
      <c r="D257" s="1" t="s">
        <v>83</v>
      </c>
      <c r="E257" s="2">
        <v>45392</v>
      </c>
      <c r="F257" s="4">
        <v>45402</v>
      </c>
      <c r="G257" s="1">
        <v>8</v>
      </c>
      <c r="H257" s="1">
        <v>126</v>
      </c>
      <c r="I257" s="1" t="s">
        <v>30</v>
      </c>
      <c r="J257" s="1" t="s">
        <v>52</v>
      </c>
      <c r="K257" s="1" t="s">
        <v>16</v>
      </c>
      <c r="L257" t="str">
        <f>TEXT(Table2[[#This Row],[Order Date]],"YYY")</f>
        <v>2024</v>
      </c>
      <c r="M257" t="str">
        <f>TEXT(Table2[[#This Row],[Order Date]],"MMM")</f>
        <v>Apr</v>
      </c>
      <c r="N257" t="str">
        <f>TEXT(Table2[[#This Row],[Order Date]],"DDD")</f>
        <v>Wed</v>
      </c>
      <c r="O257">
        <f>DATEDIF(Table2[[#This Row],[Order Date]],Table2[[#This Row],[Delivered Date]],"D")</f>
        <v>10</v>
      </c>
      <c r="P257" s="10">
        <f>ROUND(Table2[[#This Row],[Quantity]]*Table2[[#This Row],[Unit Price]]*VLOOKUP(Table2[[#This Row],[Product Name]],Table_1[#All],2,FALSE),0)</f>
        <v>655</v>
      </c>
      <c r="Q257" s="10">
        <f>Table2[[#This Row],[Quantity]]*Table2[[#This Row],[Unit Price]]</f>
        <v>1008</v>
      </c>
      <c r="R257" s="10">
        <f>Table2[[#This Row],[Sales Revenue]]-Table2[[#This Row],[Total Cost After Product Percentage Calc]]</f>
        <v>353</v>
      </c>
    </row>
    <row r="258" spans="1:18" ht="14.25" customHeight="1" x14ac:dyDescent="0.3">
      <c r="A258" s="1">
        <v>257</v>
      </c>
      <c r="B258" s="1" t="s">
        <v>309</v>
      </c>
      <c r="C258" s="1" t="s">
        <v>34</v>
      </c>
      <c r="D258" s="1" t="s">
        <v>54</v>
      </c>
      <c r="E258" s="2">
        <v>45608</v>
      </c>
      <c r="F258" s="4">
        <v>45620</v>
      </c>
      <c r="G258" s="1">
        <v>3</v>
      </c>
      <c r="H258" s="1">
        <v>843</v>
      </c>
      <c r="I258" s="1" t="s">
        <v>30</v>
      </c>
      <c r="J258" s="1" t="s">
        <v>298</v>
      </c>
      <c r="K258" s="1" t="s">
        <v>20</v>
      </c>
      <c r="L258" t="str">
        <f>TEXT(Table2[[#This Row],[Order Date]],"YYY")</f>
        <v>2024</v>
      </c>
      <c r="M258" t="str">
        <f>TEXT(Table2[[#This Row],[Order Date]],"MMM")</f>
        <v>Nov</v>
      </c>
      <c r="N258" t="str">
        <f>TEXT(Table2[[#This Row],[Order Date]],"DDD")</f>
        <v>Tue</v>
      </c>
      <c r="O258">
        <f>DATEDIF(Table2[[#This Row],[Order Date]],Table2[[#This Row],[Delivered Date]],"D")</f>
        <v>12</v>
      </c>
      <c r="P258" s="10">
        <f>ROUND(Table2[[#This Row],[Quantity]]*Table2[[#This Row],[Unit Price]]*VLOOKUP(Table2[[#This Row],[Product Name]],Table_1[#All],2,FALSE),0)</f>
        <v>1770</v>
      </c>
      <c r="Q258" s="10">
        <f>Table2[[#This Row],[Quantity]]*Table2[[#This Row],[Unit Price]]</f>
        <v>2529</v>
      </c>
      <c r="R258" s="10">
        <f>Table2[[#This Row],[Sales Revenue]]-Table2[[#This Row],[Total Cost After Product Percentage Calc]]</f>
        <v>759</v>
      </c>
    </row>
    <row r="259" spans="1:18" ht="14.25" customHeight="1" x14ac:dyDescent="0.3">
      <c r="A259" s="1">
        <v>258</v>
      </c>
      <c r="B259" s="1" t="s">
        <v>310</v>
      </c>
      <c r="C259" s="1" t="s">
        <v>12</v>
      </c>
      <c r="D259" s="1" t="s">
        <v>62</v>
      </c>
      <c r="E259" s="2">
        <v>45483</v>
      </c>
      <c r="F259" s="4">
        <v>45487</v>
      </c>
      <c r="G259" s="1">
        <v>3</v>
      </c>
      <c r="H259" s="1">
        <v>533</v>
      </c>
      <c r="I259" s="1" t="s">
        <v>30</v>
      </c>
      <c r="J259" s="1" t="s">
        <v>31</v>
      </c>
      <c r="K259" s="1" t="s">
        <v>20</v>
      </c>
      <c r="L259" t="str">
        <f>TEXT(Table2[[#This Row],[Order Date]],"YYY")</f>
        <v>2024</v>
      </c>
      <c r="M259" t="str">
        <f>TEXT(Table2[[#This Row],[Order Date]],"MMM")</f>
        <v>Jul</v>
      </c>
      <c r="N259" t="str">
        <f>TEXT(Table2[[#This Row],[Order Date]],"DDD")</f>
        <v>Wed</v>
      </c>
      <c r="O259">
        <f>DATEDIF(Table2[[#This Row],[Order Date]],Table2[[#This Row],[Delivered Date]],"D")</f>
        <v>4</v>
      </c>
      <c r="P259" s="10">
        <f>ROUND(Table2[[#This Row],[Quantity]]*Table2[[#This Row],[Unit Price]]*VLOOKUP(Table2[[#This Row],[Product Name]],Table_1[#All],2,FALSE),0)</f>
        <v>1359</v>
      </c>
      <c r="Q259" s="10">
        <f>Table2[[#This Row],[Quantity]]*Table2[[#This Row],[Unit Price]]</f>
        <v>1599</v>
      </c>
      <c r="R259" s="10">
        <f>Table2[[#This Row],[Sales Revenue]]-Table2[[#This Row],[Total Cost After Product Percentage Calc]]</f>
        <v>240</v>
      </c>
    </row>
    <row r="260" spans="1:18" ht="14.25" customHeight="1" x14ac:dyDescent="0.3">
      <c r="A260" s="1">
        <v>259</v>
      </c>
      <c r="B260" s="1" t="s">
        <v>311</v>
      </c>
      <c r="C260" s="1" t="s">
        <v>22</v>
      </c>
      <c r="D260" s="1" t="s">
        <v>56</v>
      </c>
      <c r="E260" s="2">
        <v>45488</v>
      </c>
      <c r="F260" s="4">
        <v>45500</v>
      </c>
      <c r="G260" s="1">
        <v>7</v>
      </c>
      <c r="H260" s="1">
        <v>200</v>
      </c>
      <c r="I260" s="1" t="s">
        <v>30</v>
      </c>
      <c r="J260" s="1" t="s">
        <v>31</v>
      </c>
      <c r="K260" s="1" t="s">
        <v>49</v>
      </c>
      <c r="L260" t="str">
        <f>TEXT(Table2[[#This Row],[Order Date]],"YYY")</f>
        <v>2024</v>
      </c>
      <c r="M260" t="str">
        <f>TEXT(Table2[[#This Row],[Order Date]],"MMM")</f>
        <v>Jul</v>
      </c>
      <c r="N260" t="str">
        <f>TEXT(Table2[[#This Row],[Order Date]],"DDD")</f>
        <v>Mon</v>
      </c>
      <c r="O260">
        <f>DATEDIF(Table2[[#This Row],[Order Date]],Table2[[#This Row],[Delivered Date]],"D")</f>
        <v>12</v>
      </c>
      <c r="P260" s="10">
        <f>ROUND(Table2[[#This Row],[Quantity]]*Table2[[#This Row],[Unit Price]]*VLOOKUP(Table2[[#This Row],[Product Name]],Table_1[#All],2,FALSE),0)</f>
        <v>980</v>
      </c>
      <c r="Q260" s="10">
        <f>Table2[[#This Row],[Quantity]]*Table2[[#This Row],[Unit Price]]</f>
        <v>1400</v>
      </c>
      <c r="R260" s="10">
        <f>Table2[[#This Row],[Sales Revenue]]-Table2[[#This Row],[Total Cost After Product Percentage Calc]]</f>
        <v>420</v>
      </c>
    </row>
    <row r="261" spans="1:18" ht="14.25" customHeight="1" x14ac:dyDescent="0.3">
      <c r="A261" s="1">
        <v>260</v>
      </c>
      <c r="B261" s="1" t="s">
        <v>312</v>
      </c>
      <c r="C261" s="1" t="s">
        <v>26</v>
      </c>
      <c r="D261" s="1" t="s">
        <v>74</v>
      </c>
      <c r="E261" s="2">
        <v>45319</v>
      </c>
      <c r="F261" s="4">
        <v>45329</v>
      </c>
      <c r="G261" s="1">
        <v>6</v>
      </c>
      <c r="H261" s="1">
        <v>984</v>
      </c>
      <c r="I261" s="1" t="s">
        <v>14</v>
      </c>
      <c r="J261" s="1" t="s">
        <v>295</v>
      </c>
      <c r="K261" s="1" t="s">
        <v>49</v>
      </c>
      <c r="L261" t="str">
        <f>TEXT(Table2[[#This Row],[Order Date]],"YYY")</f>
        <v>2024</v>
      </c>
      <c r="M261" t="str">
        <f>TEXT(Table2[[#This Row],[Order Date]],"MMM")</f>
        <v>Jan</v>
      </c>
      <c r="N261" t="str">
        <f>TEXT(Table2[[#This Row],[Order Date]],"DDD")</f>
        <v>Sun</v>
      </c>
      <c r="O261">
        <f>DATEDIF(Table2[[#This Row],[Order Date]],Table2[[#This Row],[Delivered Date]],"D")</f>
        <v>10</v>
      </c>
      <c r="P261" s="10">
        <f>ROUND(Table2[[#This Row],[Quantity]]*Table2[[#This Row],[Unit Price]]*VLOOKUP(Table2[[#This Row],[Product Name]],Table_1[#All],2,FALSE),0)</f>
        <v>3247</v>
      </c>
      <c r="Q261" s="10">
        <f>Table2[[#This Row],[Quantity]]*Table2[[#This Row],[Unit Price]]</f>
        <v>5904</v>
      </c>
      <c r="R261" s="10">
        <f>Table2[[#This Row],[Sales Revenue]]-Table2[[#This Row],[Total Cost After Product Percentage Calc]]</f>
        <v>2657</v>
      </c>
    </row>
    <row r="262" spans="1:18" ht="14.25" customHeight="1" x14ac:dyDescent="0.3">
      <c r="A262" s="1">
        <v>261</v>
      </c>
      <c r="B262" s="1" t="s">
        <v>313</v>
      </c>
      <c r="C262" s="1" t="s">
        <v>22</v>
      </c>
      <c r="D262" s="1" t="s">
        <v>23</v>
      </c>
      <c r="E262" s="2">
        <v>45579</v>
      </c>
      <c r="F262" s="4">
        <v>45593</v>
      </c>
      <c r="G262" s="1">
        <v>9</v>
      </c>
      <c r="H262" s="1">
        <v>678</v>
      </c>
      <c r="I262" s="1" t="s">
        <v>30</v>
      </c>
      <c r="J262" s="1" t="s">
        <v>31</v>
      </c>
      <c r="K262" s="1" t="s">
        <v>49</v>
      </c>
      <c r="L262" t="str">
        <f>TEXT(Table2[[#This Row],[Order Date]],"YYY")</f>
        <v>2024</v>
      </c>
      <c r="M262" t="str">
        <f>TEXT(Table2[[#This Row],[Order Date]],"MMM")</f>
        <v>Oct</v>
      </c>
      <c r="N262" t="str">
        <f>TEXT(Table2[[#This Row],[Order Date]],"DDD")</f>
        <v>Mon</v>
      </c>
      <c r="O262">
        <f>DATEDIF(Table2[[#This Row],[Order Date]],Table2[[#This Row],[Delivered Date]],"D")</f>
        <v>14</v>
      </c>
      <c r="P262" s="10">
        <f>ROUND(Table2[[#This Row],[Quantity]]*Table2[[#This Row],[Unit Price]]*VLOOKUP(Table2[[#This Row],[Product Name]],Table_1[#All],2,FALSE),0)</f>
        <v>4577</v>
      </c>
      <c r="Q262" s="10">
        <f>Table2[[#This Row],[Quantity]]*Table2[[#This Row],[Unit Price]]</f>
        <v>6102</v>
      </c>
      <c r="R262" s="10">
        <f>Table2[[#This Row],[Sales Revenue]]-Table2[[#This Row],[Total Cost After Product Percentage Calc]]</f>
        <v>1525</v>
      </c>
    </row>
    <row r="263" spans="1:18" ht="14.25" customHeight="1" x14ac:dyDescent="0.3">
      <c r="A263" s="1">
        <v>262</v>
      </c>
      <c r="B263" s="1" t="s">
        <v>314</v>
      </c>
      <c r="C263" s="1" t="s">
        <v>26</v>
      </c>
      <c r="D263" s="1" t="s">
        <v>41</v>
      </c>
      <c r="E263" s="2">
        <v>45655</v>
      </c>
      <c r="F263" s="4">
        <v>45659</v>
      </c>
      <c r="G263" s="1">
        <v>8</v>
      </c>
      <c r="H263" s="1">
        <v>510</v>
      </c>
      <c r="I263" s="1" t="s">
        <v>30</v>
      </c>
      <c r="J263" s="1" t="s">
        <v>295</v>
      </c>
      <c r="K263" s="1" t="s">
        <v>16</v>
      </c>
      <c r="L263" t="str">
        <f>TEXT(Table2[[#This Row],[Order Date]],"YYY")</f>
        <v>2024</v>
      </c>
      <c r="M263" t="str">
        <f>TEXT(Table2[[#This Row],[Order Date]],"MMM")</f>
        <v>Dec</v>
      </c>
      <c r="N263" t="str">
        <f>TEXT(Table2[[#This Row],[Order Date]],"DDD")</f>
        <v>Sun</v>
      </c>
      <c r="O263">
        <f>DATEDIF(Table2[[#This Row],[Order Date]],Table2[[#This Row],[Delivered Date]],"D")</f>
        <v>4</v>
      </c>
      <c r="P263" s="10">
        <f>ROUND(Table2[[#This Row],[Quantity]]*Table2[[#This Row],[Unit Price]]*VLOOKUP(Table2[[#This Row],[Product Name]],Table_1[#All],2,FALSE),0)</f>
        <v>2040</v>
      </c>
      <c r="Q263" s="10">
        <f>Table2[[#This Row],[Quantity]]*Table2[[#This Row],[Unit Price]]</f>
        <v>4080</v>
      </c>
      <c r="R263" s="10">
        <f>Table2[[#This Row],[Sales Revenue]]-Table2[[#This Row],[Total Cost After Product Percentage Calc]]</f>
        <v>2040</v>
      </c>
    </row>
    <row r="264" spans="1:18" ht="14.25" customHeight="1" x14ac:dyDescent="0.3">
      <c r="A264" s="1">
        <v>263</v>
      </c>
      <c r="B264" s="1" t="s">
        <v>315</v>
      </c>
      <c r="C264" s="1" t="s">
        <v>22</v>
      </c>
      <c r="D264" s="1" t="s">
        <v>23</v>
      </c>
      <c r="E264" s="2">
        <v>45581</v>
      </c>
      <c r="F264" s="4">
        <v>45594</v>
      </c>
      <c r="G264" s="1">
        <v>8</v>
      </c>
      <c r="H264" s="1">
        <v>572</v>
      </c>
      <c r="I264" s="1" t="s">
        <v>30</v>
      </c>
      <c r="J264" s="1" t="s">
        <v>298</v>
      </c>
      <c r="K264" s="1" t="s">
        <v>49</v>
      </c>
      <c r="L264" t="str">
        <f>TEXT(Table2[[#This Row],[Order Date]],"YYY")</f>
        <v>2024</v>
      </c>
      <c r="M264" t="str">
        <f>TEXT(Table2[[#This Row],[Order Date]],"MMM")</f>
        <v>Oct</v>
      </c>
      <c r="N264" t="str">
        <f>TEXT(Table2[[#This Row],[Order Date]],"DDD")</f>
        <v>Wed</v>
      </c>
      <c r="O264">
        <f>DATEDIF(Table2[[#This Row],[Order Date]],Table2[[#This Row],[Delivered Date]],"D")</f>
        <v>13</v>
      </c>
      <c r="P264" s="10">
        <f>ROUND(Table2[[#This Row],[Quantity]]*Table2[[#This Row],[Unit Price]]*VLOOKUP(Table2[[#This Row],[Product Name]],Table_1[#All],2,FALSE),0)</f>
        <v>3432</v>
      </c>
      <c r="Q264" s="10">
        <f>Table2[[#This Row],[Quantity]]*Table2[[#This Row],[Unit Price]]</f>
        <v>4576</v>
      </c>
      <c r="R264" s="10">
        <f>Table2[[#This Row],[Sales Revenue]]-Table2[[#This Row],[Total Cost After Product Percentage Calc]]</f>
        <v>1144</v>
      </c>
    </row>
    <row r="265" spans="1:18" ht="14.25" customHeight="1" x14ac:dyDescent="0.3">
      <c r="A265" s="1">
        <v>264</v>
      </c>
      <c r="B265" s="1" t="s">
        <v>316</v>
      </c>
      <c r="C265" s="1" t="s">
        <v>12</v>
      </c>
      <c r="D265" s="1" t="s">
        <v>100</v>
      </c>
      <c r="E265" s="2">
        <v>45570</v>
      </c>
      <c r="F265" s="4">
        <v>45574</v>
      </c>
      <c r="G265" s="1">
        <v>6</v>
      </c>
      <c r="H265" s="1">
        <v>565</v>
      </c>
      <c r="I265" s="1" t="s">
        <v>30</v>
      </c>
      <c r="J265" s="1" t="s">
        <v>24</v>
      </c>
      <c r="K265" s="1" t="s">
        <v>49</v>
      </c>
      <c r="L265" t="str">
        <f>TEXT(Table2[[#This Row],[Order Date]],"YYY")</f>
        <v>2024</v>
      </c>
      <c r="M265" t="str">
        <f>TEXT(Table2[[#This Row],[Order Date]],"MMM")</f>
        <v>Oct</v>
      </c>
      <c r="N265" t="str">
        <f>TEXT(Table2[[#This Row],[Order Date]],"DDD")</f>
        <v>Sat</v>
      </c>
      <c r="O265">
        <f>DATEDIF(Table2[[#This Row],[Order Date]],Table2[[#This Row],[Delivered Date]],"D")</f>
        <v>4</v>
      </c>
      <c r="P265" s="10">
        <f>ROUND(Table2[[#This Row],[Quantity]]*Table2[[#This Row],[Unit Price]]*VLOOKUP(Table2[[#This Row],[Product Name]],Table_1[#All],2,FALSE),0)</f>
        <v>2373</v>
      </c>
      <c r="Q265" s="10">
        <f>Table2[[#This Row],[Quantity]]*Table2[[#This Row],[Unit Price]]</f>
        <v>3390</v>
      </c>
      <c r="R265" s="10">
        <f>Table2[[#This Row],[Sales Revenue]]-Table2[[#This Row],[Total Cost After Product Percentage Calc]]</f>
        <v>1017</v>
      </c>
    </row>
    <row r="266" spans="1:18" ht="14.25" customHeight="1" x14ac:dyDescent="0.3">
      <c r="A266" s="1">
        <v>265</v>
      </c>
      <c r="B266" s="1" t="s">
        <v>317</v>
      </c>
      <c r="C266" s="1" t="s">
        <v>12</v>
      </c>
      <c r="D266" s="1" t="s">
        <v>62</v>
      </c>
      <c r="E266" s="2">
        <v>45399</v>
      </c>
      <c r="F266" s="4">
        <v>45406</v>
      </c>
      <c r="G266" s="1">
        <v>10</v>
      </c>
      <c r="H266" s="1">
        <v>715</v>
      </c>
      <c r="I266" s="1" t="s">
        <v>30</v>
      </c>
      <c r="J266" s="1" t="s">
        <v>52</v>
      </c>
      <c r="K266" s="1" t="s">
        <v>32</v>
      </c>
      <c r="L266" t="str">
        <f>TEXT(Table2[[#This Row],[Order Date]],"YYY")</f>
        <v>2024</v>
      </c>
      <c r="M266" t="str">
        <f>TEXT(Table2[[#This Row],[Order Date]],"MMM")</f>
        <v>Apr</v>
      </c>
      <c r="N266" t="str">
        <f>TEXT(Table2[[#This Row],[Order Date]],"DDD")</f>
        <v>Wed</v>
      </c>
      <c r="O266">
        <f>DATEDIF(Table2[[#This Row],[Order Date]],Table2[[#This Row],[Delivered Date]],"D")</f>
        <v>7</v>
      </c>
      <c r="P266" s="10">
        <f>ROUND(Table2[[#This Row],[Quantity]]*Table2[[#This Row],[Unit Price]]*VLOOKUP(Table2[[#This Row],[Product Name]],Table_1[#All],2,FALSE),0)</f>
        <v>6078</v>
      </c>
      <c r="Q266" s="10">
        <f>Table2[[#This Row],[Quantity]]*Table2[[#This Row],[Unit Price]]</f>
        <v>7150</v>
      </c>
      <c r="R266" s="10">
        <f>Table2[[#This Row],[Sales Revenue]]-Table2[[#This Row],[Total Cost After Product Percentage Calc]]</f>
        <v>1072</v>
      </c>
    </row>
    <row r="267" spans="1:18" ht="14.25" customHeight="1" x14ac:dyDescent="0.3">
      <c r="A267" s="1">
        <v>266</v>
      </c>
      <c r="B267" s="1" t="s">
        <v>318</v>
      </c>
      <c r="C267" s="1" t="s">
        <v>26</v>
      </c>
      <c r="D267" s="1" t="s">
        <v>104</v>
      </c>
      <c r="E267" s="2">
        <v>45607</v>
      </c>
      <c r="F267" s="4">
        <v>45620</v>
      </c>
      <c r="G267" s="1">
        <v>3</v>
      </c>
      <c r="H267" s="1">
        <v>813</v>
      </c>
      <c r="I267" s="1" t="s">
        <v>14</v>
      </c>
      <c r="J267" s="1" t="s">
        <v>295</v>
      </c>
      <c r="K267" s="1" t="s">
        <v>16</v>
      </c>
      <c r="L267" t="str">
        <f>TEXT(Table2[[#This Row],[Order Date]],"YYY")</f>
        <v>2024</v>
      </c>
      <c r="M267" t="str">
        <f>TEXT(Table2[[#This Row],[Order Date]],"MMM")</f>
        <v>Nov</v>
      </c>
      <c r="N267" t="str">
        <f>TEXT(Table2[[#This Row],[Order Date]],"DDD")</f>
        <v>Mon</v>
      </c>
      <c r="O267">
        <f>DATEDIF(Table2[[#This Row],[Order Date]],Table2[[#This Row],[Delivered Date]],"D")</f>
        <v>13</v>
      </c>
      <c r="P267" s="10">
        <f>ROUND(Table2[[#This Row],[Quantity]]*Table2[[#This Row],[Unit Price]]*VLOOKUP(Table2[[#This Row],[Product Name]],Table_1[#All],2,FALSE),0)</f>
        <v>1463</v>
      </c>
      <c r="Q267" s="10">
        <f>Table2[[#This Row],[Quantity]]*Table2[[#This Row],[Unit Price]]</f>
        <v>2439</v>
      </c>
      <c r="R267" s="10">
        <f>Table2[[#This Row],[Sales Revenue]]-Table2[[#This Row],[Total Cost After Product Percentage Calc]]</f>
        <v>976</v>
      </c>
    </row>
    <row r="268" spans="1:18" ht="14.25" customHeight="1" x14ac:dyDescent="0.3">
      <c r="A268" s="1">
        <v>267</v>
      </c>
      <c r="B268" s="1" t="s">
        <v>319</v>
      </c>
      <c r="C268" s="1" t="s">
        <v>34</v>
      </c>
      <c r="D268" s="1" t="s">
        <v>83</v>
      </c>
      <c r="E268" s="2">
        <v>45585</v>
      </c>
      <c r="F268" s="4">
        <v>45596</v>
      </c>
      <c r="G268" s="1">
        <v>5</v>
      </c>
      <c r="H268" s="1">
        <v>985</v>
      </c>
      <c r="I268" s="1" t="s">
        <v>30</v>
      </c>
      <c r="J268" s="1" t="s">
        <v>24</v>
      </c>
      <c r="K268" s="1" t="s">
        <v>49</v>
      </c>
      <c r="L268" t="str">
        <f>TEXT(Table2[[#This Row],[Order Date]],"YYY")</f>
        <v>2024</v>
      </c>
      <c r="M268" t="str">
        <f>TEXT(Table2[[#This Row],[Order Date]],"MMM")</f>
        <v>Oct</v>
      </c>
      <c r="N268" t="str">
        <f>TEXT(Table2[[#This Row],[Order Date]],"DDD")</f>
        <v>Sun</v>
      </c>
      <c r="O268">
        <f>DATEDIF(Table2[[#This Row],[Order Date]],Table2[[#This Row],[Delivered Date]],"D")</f>
        <v>11</v>
      </c>
      <c r="P268" s="10">
        <f>ROUND(Table2[[#This Row],[Quantity]]*Table2[[#This Row],[Unit Price]]*VLOOKUP(Table2[[#This Row],[Product Name]],Table_1[#All],2,FALSE),0)</f>
        <v>3201</v>
      </c>
      <c r="Q268" s="10">
        <f>Table2[[#This Row],[Quantity]]*Table2[[#This Row],[Unit Price]]</f>
        <v>4925</v>
      </c>
      <c r="R268" s="10">
        <f>Table2[[#This Row],[Sales Revenue]]-Table2[[#This Row],[Total Cost After Product Percentage Calc]]</f>
        <v>1724</v>
      </c>
    </row>
    <row r="269" spans="1:18" ht="14.25" customHeight="1" x14ac:dyDescent="0.3">
      <c r="A269" s="1">
        <v>268</v>
      </c>
      <c r="B269" s="1" t="s">
        <v>320</v>
      </c>
      <c r="C269" s="1" t="s">
        <v>12</v>
      </c>
      <c r="D269" s="1" t="s">
        <v>62</v>
      </c>
      <c r="E269" s="2">
        <v>45502</v>
      </c>
      <c r="F269" s="4">
        <v>45508</v>
      </c>
      <c r="G269" s="1">
        <v>1</v>
      </c>
      <c r="H269" s="1">
        <v>293</v>
      </c>
      <c r="I269" s="1" t="s">
        <v>30</v>
      </c>
      <c r="J269" s="1" t="s">
        <v>24</v>
      </c>
      <c r="K269" s="1" t="s">
        <v>20</v>
      </c>
      <c r="L269" t="str">
        <f>TEXT(Table2[[#This Row],[Order Date]],"YYY")</f>
        <v>2024</v>
      </c>
      <c r="M269" t="str">
        <f>TEXT(Table2[[#This Row],[Order Date]],"MMM")</f>
        <v>Jul</v>
      </c>
      <c r="N269" t="str">
        <f>TEXT(Table2[[#This Row],[Order Date]],"DDD")</f>
        <v>Mon</v>
      </c>
      <c r="O269">
        <f>DATEDIF(Table2[[#This Row],[Order Date]],Table2[[#This Row],[Delivered Date]],"D")</f>
        <v>6</v>
      </c>
      <c r="P269" s="10">
        <f>ROUND(Table2[[#This Row],[Quantity]]*Table2[[#This Row],[Unit Price]]*VLOOKUP(Table2[[#This Row],[Product Name]],Table_1[#All],2,FALSE),0)</f>
        <v>249</v>
      </c>
      <c r="Q269" s="10">
        <f>Table2[[#This Row],[Quantity]]*Table2[[#This Row],[Unit Price]]</f>
        <v>293</v>
      </c>
      <c r="R269" s="10">
        <f>Table2[[#This Row],[Sales Revenue]]-Table2[[#This Row],[Total Cost After Product Percentage Calc]]</f>
        <v>44</v>
      </c>
    </row>
    <row r="270" spans="1:18" ht="14.25" customHeight="1" x14ac:dyDescent="0.3">
      <c r="A270" s="1">
        <v>269</v>
      </c>
      <c r="B270" s="1" t="s">
        <v>321</v>
      </c>
      <c r="C270" s="1" t="s">
        <v>26</v>
      </c>
      <c r="D270" s="1" t="s">
        <v>27</v>
      </c>
      <c r="E270" s="2">
        <v>45589</v>
      </c>
      <c r="F270" s="4">
        <v>45595</v>
      </c>
      <c r="G270" s="1">
        <v>1</v>
      </c>
      <c r="H270" s="1">
        <v>899</v>
      </c>
      <c r="I270" s="1" t="s">
        <v>30</v>
      </c>
      <c r="J270" s="1" t="s">
        <v>24</v>
      </c>
      <c r="K270" s="1" t="s">
        <v>49</v>
      </c>
      <c r="L270" t="str">
        <f>TEXT(Table2[[#This Row],[Order Date]],"YYY")</f>
        <v>2024</v>
      </c>
      <c r="M270" t="str">
        <f>TEXT(Table2[[#This Row],[Order Date]],"MMM")</f>
        <v>Oct</v>
      </c>
      <c r="N270" t="str">
        <f>TEXT(Table2[[#This Row],[Order Date]],"DDD")</f>
        <v>Thu</v>
      </c>
      <c r="O270">
        <f>DATEDIF(Table2[[#This Row],[Order Date]],Table2[[#This Row],[Delivered Date]],"D")</f>
        <v>6</v>
      </c>
      <c r="P270" s="10">
        <f>ROUND(Table2[[#This Row],[Quantity]]*Table2[[#This Row],[Unit Price]]*VLOOKUP(Table2[[#This Row],[Product Name]],Table_1[#All],2,FALSE),0)</f>
        <v>494</v>
      </c>
      <c r="Q270" s="10">
        <f>Table2[[#This Row],[Quantity]]*Table2[[#This Row],[Unit Price]]</f>
        <v>899</v>
      </c>
      <c r="R270" s="10">
        <f>Table2[[#This Row],[Sales Revenue]]-Table2[[#This Row],[Total Cost After Product Percentage Calc]]</f>
        <v>405</v>
      </c>
    </row>
    <row r="271" spans="1:18" ht="14.25" customHeight="1" x14ac:dyDescent="0.3">
      <c r="A271" s="1">
        <v>270</v>
      </c>
      <c r="B271" s="1" t="s">
        <v>322</v>
      </c>
      <c r="C271" s="1" t="s">
        <v>26</v>
      </c>
      <c r="D271" s="1" t="s">
        <v>27</v>
      </c>
      <c r="E271" s="2">
        <v>45324</v>
      </c>
      <c r="F271" s="4">
        <v>45333</v>
      </c>
      <c r="G271" s="1">
        <v>9</v>
      </c>
      <c r="H271" s="1">
        <v>417</v>
      </c>
      <c r="I271" s="1" t="s">
        <v>14</v>
      </c>
      <c r="J271" s="1" t="s">
        <v>295</v>
      </c>
      <c r="K271" s="1" t="s">
        <v>49</v>
      </c>
      <c r="L271" t="str">
        <f>TEXT(Table2[[#This Row],[Order Date]],"YYY")</f>
        <v>2024</v>
      </c>
      <c r="M271" t="str">
        <f>TEXT(Table2[[#This Row],[Order Date]],"MMM")</f>
        <v>Feb</v>
      </c>
      <c r="N271" t="str">
        <f>TEXT(Table2[[#This Row],[Order Date]],"DDD")</f>
        <v>Fri</v>
      </c>
      <c r="O271">
        <f>DATEDIF(Table2[[#This Row],[Order Date]],Table2[[#This Row],[Delivered Date]],"D")</f>
        <v>9</v>
      </c>
      <c r="P271" s="10">
        <f>ROUND(Table2[[#This Row],[Quantity]]*Table2[[#This Row],[Unit Price]]*VLOOKUP(Table2[[#This Row],[Product Name]],Table_1[#All],2,FALSE),0)</f>
        <v>2064</v>
      </c>
      <c r="Q271" s="10">
        <f>Table2[[#This Row],[Quantity]]*Table2[[#This Row],[Unit Price]]</f>
        <v>3753</v>
      </c>
      <c r="R271" s="10">
        <f>Table2[[#This Row],[Sales Revenue]]-Table2[[#This Row],[Total Cost After Product Percentage Calc]]</f>
        <v>1689</v>
      </c>
    </row>
    <row r="272" spans="1:18" ht="14.25" customHeight="1" x14ac:dyDescent="0.3">
      <c r="A272" s="1">
        <v>271</v>
      </c>
      <c r="B272" s="1" t="s">
        <v>323</v>
      </c>
      <c r="C272" s="1" t="s">
        <v>26</v>
      </c>
      <c r="D272" s="1" t="s">
        <v>27</v>
      </c>
      <c r="E272" s="2">
        <v>45457</v>
      </c>
      <c r="F272" s="4">
        <v>45461</v>
      </c>
      <c r="G272" s="1">
        <v>5</v>
      </c>
      <c r="H272" s="1">
        <v>355</v>
      </c>
      <c r="I272" s="1" t="s">
        <v>14</v>
      </c>
      <c r="J272" s="1" t="s">
        <v>298</v>
      </c>
      <c r="K272" s="1" t="s">
        <v>49</v>
      </c>
      <c r="L272" t="str">
        <f>TEXT(Table2[[#This Row],[Order Date]],"YYY")</f>
        <v>2024</v>
      </c>
      <c r="M272" t="str">
        <f>TEXT(Table2[[#This Row],[Order Date]],"MMM")</f>
        <v>Jun</v>
      </c>
      <c r="N272" t="str">
        <f>TEXT(Table2[[#This Row],[Order Date]],"DDD")</f>
        <v>Fri</v>
      </c>
      <c r="O272">
        <f>DATEDIF(Table2[[#This Row],[Order Date]],Table2[[#This Row],[Delivered Date]],"D")</f>
        <v>4</v>
      </c>
      <c r="P272" s="10">
        <f>ROUND(Table2[[#This Row],[Quantity]]*Table2[[#This Row],[Unit Price]]*VLOOKUP(Table2[[#This Row],[Product Name]],Table_1[#All],2,FALSE),0)</f>
        <v>976</v>
      </c>
      <c r="Q272" s="10">
        <f>Table2[[#This Row],[Quantity]]*Table2[[#This Row],[Unit Price]]</f>
        <v>1775</v>
      </c>
      <c r="R272" s="10">
        <f>Table2[[#This Row],[Sales Revenue]]-Table2[[#This Row],[Total Cost After Product Percentage Calc]]</f>
        <v>799</v>
      </c>
    </row>
    <row r="273" spans="1:18" ht="14.25" customHeight="1" x14ac:dyDescent="0.3">
      <c r="A273" s="1">
        <v>272</v>
      </c>
      <c r="B273" s="1" t="s">
        <v>324</v>
      </c>
      <c r="C273" s="1" t="s">
        <v>18</v>
      </c>
      <c r="D273" s="1" t="s">
        <v>47</v>
      </c>
      <c r="E273" s="2">
        <v>45467</v>
      </c>
      <c r="F273" s="4">
        <v>45471</v>
      </c>
      <c r="G273" s="1">
        <v>1</v>
      </c>
      <c r="H273" s="1">
        <v>57</v>
      </c>
      <c r="I273" s="1" t="s">
        <v>14</v>
      </c>
      <c r="J273" s="1" t="s">
        <v>295</v>
      </c>
      <c r="K273" s="1" t="s">
        <v>32</v>
      </c>
      <c r="L273" t="str">
        <f>TEXT(Table2[[#This Row],[Order Date]],"YYY")</f>
        <v>2024</v>
      </c>
      <c r="M273" t="str">
        <f>TEXT(Table2[[#This Row],[Order Date]],"MMM")</f>
        <v>Jun</v>
      </c>
      <c r="N273" t="str">
        <f>TEXT(Table2[[#This Row],[Order Date]],"DDD")</f>
        <v>Mon</v>
      </c>
      <c r="O273">
        <f>DATEDIF(Table2[[#This Row],[Order Date]],Table2[[#This Row],[Delivered Date]],"D")</f>
        <v>4</v>
      </c>
      <c r="P273" s="10">
        <f>ROUND(Table2[[#This Row],[Quantity]]*Table2[[#This Row],[Unit Price]]*VLOOKUP(Table2[[#This Row],[Product Name]],Table_1[#All],2,FALSE),0)</f>
        <v>34</v>
      </c>
      <c r="Q273" s="10">
        <f>Table2[[#This Row],[Quantity]]*Table2[[#This Row],[Unit Price]]</f>
        <v>57</v>
      </c>
      <c r="R273" s="10">
        <f>Table2[[#This Row],[Sales Revenue]]-Table2[[#This Row],[Total Cost After Product Percentage Calc]]</f>
        <v>23</v>
      </c>
    </row>
    <row r="274" spans="1:18" ht="14.25" customHeight="1" x14ac:dyDescent="0.3">
      <c r="A274" s="1">
        <v>273</v>
      </c>
      <c r="B274" s="1" t="s">
        <v>325</v>
      </c>
      <c r="C274" s="1" t="s">
        <v>12</v>
      </c>
      <c r="D274" s="1" t="s">
        <v>62</v>
      </c>
      <c r="E274" s="2">
        <v>45517</v>
      </c>
      <c r="F274" s="4">
        <v>45529</v>
      </c>
      <c r="G274" s="1">
        <v>8</v>
      </c>
      <c r="H274" s="1">
        <v>10</v>
      </c>
      <c r="I274" s="1" t="s">
        <v>30</v>
      </c>
      <c r="J274" s="1" t="s">
        <v>31</v>
      </c>
      <c r="K274" s="1" t="s">
        <v>20</v>
      </c>
      <c r="L274" t="str">
        <f>TEXT(Table2[[#This Row],[Order Date]],"YYY")</f>
        <v>2024</v>
      </c>
      <c r="M274" t="str">
        <f>TEXT(Table2[[#This Row],[Order Date]],"MMM")</f>
        <v>Aug</v>
      </c>
      <c r="N274" t="str">
        <f>TEXT(Table2[[#This Row],[Order Date]],"DDD")</f>
        <v>Tue</v>
      </c>
      <c r="O274">
        <f>DATEDIF(Table2[[#This Row],[Order Date]],Table2[[#This Row],[Delivered Date]],"D")</f>
        <v>12</v>
      </c>
      <c r="P274" s="10">
        <f>ROUND(Table2[[#This Row],[Quantity]]*Table2[[#This Row],[Unit Price]]*VLOOKUP(Table2[[#This Row],[Product Name]],Table_1[#All],2,FALSE),0)</f>
        <v>68</v>
      </c>
      <c r="Q274" s="10">
        <f>Table2[[#This Row],[Quantity]]*Table2[[#This Row],[Unit Price]]</f>
        <v>80</v>
      </c>
      <c r="R274" s="10">
        <f>Table2[[#This Row],[Sales Revenue]]-Table2[[#This Row],[Total Cost After Product Percentage Calc]]</f>
        <v>12</v>
      </c>
    </row>
    <row r="275" spans="1:18" ht="14.25" customHeight="1" x14ac:dyDescent="0.3">
      <c r="A275" s="1">
        <v>274</v>
      </c>
      <c r="B275" s="1" t="s">
        <v>326</v>
      </c>
      <c r="C275" s="1" t="s">
        <v>12</v>
      </c>
      <c r="D275" s="1" t="s">
        <v>100</v>
      </c>
      <c r="E275" s="2">
        <v>45632</v>
      </c>
      <c r="F275" s="4">
        <v>45639</v>
      </c>
      <c r="G275" s="1">
        <v>3</v>
      </c>
      <c r="H275" s="1">
        <v>63</v>
      </c>
      <c r="I275" s="1" t="s">
        <v>30</v>
      </c>
      <c r="J275" s="1" t="s">
        <v>31</v>
      </c>
      <c r="K275" s="1" t="s">
        <v>20</v>
      </c>
      <c r="L275" t="str">
        <f>TEXT(Table2[[#This Row],[Order Date]],"YYY")</f>
        <v>2024</v>
      </c>
      <c r="M275" t="str">
        <f>TEXT(Table2[[#This Row],[Order Date]],"MMM")</f>
        <v>Dec</v>
      </c>
      <c r="N275" t="str">
        <f>TEXT(Table2[[#This Row],[Order Date]],"DDD")</f>
        <v>Fri</v>
      </c>
      <c r="O275">
        <f>DATEDIF(Table2[[#This Row],[Order Date]],Table2[[#This Row],[Delivered Date]],"D")</f>
        <v>7</v>
      </c>
      <c r="P275" s="10">
        <f>ROUND(Table2[[#This Row],[Quantity]]*Table2[[#This Row],[Unit Price]]*VLOOKUP(Table2[[#This Row],[Product Name]],Table_1[#All],2,FALSE),0)</f>
        <v>132</v>
      </c>
      <c r="Q275" s="10">
        <f>Table2[[#This Row],[Quantity]]*Table2[[#This Row],[Unit Price]]</f>
        <v>189</v>
      </c>
      <c r="R275" s="10">
        <f>Table2[[#This Row],[Sales Revenue]]-Table2[[#This Row],[Total Cost After Product Percentage Calc]]</f>
        <v>57</v>
      </c>
    </row>
    <row r="276" spans="1:18" ht="14.25" customHeight="1" x14ac:dyDescent="0.3">
      <c r="A276" s="1">
        <v>275</v>
      </c>
      <c r="B276" s="1" t="s">
        <v>327</v>
      </c>
      <c r="C276" s="1" t="s">
        <v>22</v>
      </c>
      <c r="D276" s="1" t="s">
        <v>23</v>
      </c>
      <c r="E276" s="2">
        <v>45627</v>
      </c>
      <c r="F276" s="4">
        <v>45636</v>
      </c>
      <c r="G276" s="1">
        <v>2</v>
      </c>
      <c r="H276" s="1">
        <v>730</v>
      </c>
      <c r="I276" s="1" t="s">
        <v>14</v>
      </c>
      <c r="J276" s="1" t="s">
        <v>295</v>
      </c>
      <c r="K276" s="1" t="s">
        <v>20</v>
      </c>
      <c r="L276" t="str">
        <f>TEXT(Table2[[#This Row],[Order Date]],"YYY")</f>
        <v>2024</v>
      </c>
      <c r="M276" t="str">
        <f>TEXT(Table2[[#This Row],[Order Date]],"MMM")</f>
        <v>Dec</v>
      </c>
      <c r="N276" t="str">
        <f>TEXT(Table2[[#This Row],[Order Date]],"DDD")</f>
        <v>Sun</v>
      </c>
      <c r="O276">
        <f>DATEDIF(Table2[[#This Row],[Order Date]],Table2[[#This Row],[Delivered Date]],"D")</f>
        <v>9</v>
      </c>
      <c r="P276" s="10">
        <f>ROUND(Table2[[#This Row],[Quantity]]*Table2[[#This Row],[Unit Price]]*VLOOKUP(Table2[[#This Row],[Product Name]],Table_1[#All],2,FALSE),0)</f>
        <v>1095</v>
      </c>
      <c r="Q276" s="10">
        <f>Table2[[#This Row],[Quantity]]*Table2[[#This Row],[Unit Price]]</f>
        <v>1460</v>
      </c>
      <c r="R276" s="10">
        <f>Table2[[#This Row],[Sales Revenue]]-Table2[[#This Row],[Total Cost After Product Percentage Calc]]</f>
        <v>365</v>
      </c>
    </row>
    <row r="277" spans="1:18" ht="14.25" customHeight="1" x14ac:dyDescent="0.3">
      <c r="A277" s="1">
        <v>276</v>
      </c>
      <c r="B277" s="1" t="s">
        <v>328</v>
      </c>
      <c r="C277" s="1" t="s">
        <v>26</v>
      </c>
      <c r="D277" s="1" t="s">
        <v>119</v>
      </c>
      <c r="E277" s="2">
        <v>45359</v>
      </c>
      <c r="F277" s="4">
        <v>45366</v>
      </c>
      <c r="G277" s="1">
        <v>10</v>
      </c>
      <c r="H277" s="1">
        <v>241</v>
      </c>
      <c r="I277" s="1" t="s">
        <v>14</v>
      </c>
      <c r="J277" s="1" t="s">
        <v>298</v>
      </c>
      <c r="K277" s="1" t="s">
        <v>20</v>
      </c>
      <c r="L277" t="str">
        <f>TEXT(Table2[[#This Row],[Order Date]],"YYY")</f>
        <v>2024</v>
      </c>
      <c r="M277" t="str">
        <f>TEXT(Table2[[#This Row],[Order Date]],"MMM")</f>
        <v>Mar</v>
      </c>
      <c r="N277" t="str">
        <f>TEXT(Table2[[#This Row],[Order Date]],"DDD")</f>
        <v>Fri</v>
      </c>
      <c r="O277">
        <f>DATEDIF(Table2[[#This Row],[Order Date]],Table2[[#This Row],[Delivered Date]],"D")</f>
        <v>7</v>
      </c>
      <c r="P277" s="10">
        <f>ROUND(Table2[[#This Row],[Quantity]]*Table2[[#This Row],[Unit Price]]*VLOOKUP(Table2[[#This Row],[Product Name]],Table_1[#All],2,FALSE),0)</f>
        <v>1446</v>
      </c>
      <c r="Q277" s="10">
        <f>Table2[[#This Row],[Quantity]]*Table2[[#This Row],[Unit Price]]</f>
        <v>2410</v>
      </c>
      <c r="R277" s="10">
        <f>Table2[[#This Row],[Sales Revenue]]-Table2[[#This Row],[Total Cost After Product Percentage Calc]]</f>
        <v>964</v>
      </c>
    </row>
    <row r="278" spans="1:18" ht="14.25" customHeight="1" x14ac:dyDescent="0.3">
      <c r="A278" s="1">
        <v>277</v>
      </c>
      <c r="B278" s="1" t="s">
        <v>329</v>
      </c>
      <c r="C278" s="1" t="s">
        <v>12</v>
      </c>
      <c r="D278" s="1" t="s">
        <v>100</v>
      </c>
      <c r="E278" s="2">
        <v>45353</v>
      </c>
      <c r="F278" s="4">
        <v>45366</v>
      </c>
      <c r="G278" s="1">
        <v>7</v>
      </c>
      <c r="H278" s="1">
        <v>720</v>
      </c>
      <c r="I278" s="1" t="s">
        <v>14</v>
      </c>
      <c r="J278" s="1" t="s">
        <v>295</v>
      </c>
      <c r="K278" s="1" t="s">
        <v>20</v>
      </c>
      <c r="L278" t="str">
        <f>TEXT(Table2[[#This Row],[Order Date]],"YYY")</f>
        <v>2024</v>
      </c>
      <c r="M278" t="str">
        <f>TEXT(Table2[[#This Row],[Order Date]],"MMM")</f>
        <v>Mar</v>
      </c>
      <c r="N278" t="str">
        <f>TEXT(Table2[[#This Row],[Order Date]],"DDD")</f>
        <v>Sat</v>
      </c>
      <c r="O278">
        <f>DATEDIF(Table2[[#This Row],[Order Date]],Table2[[#This Row],[Delivered Date]],"D")</f>
        <v>13</v>
      </c>
      <c r="P278" s="10">
        <f>ROUND(Table2[[#This Row],[Quantity]]*Table2[[#This Row],[Unit Price]]*VLOOKUP(Table2[[#This Row],[Product Name]],Table_1[#All],2,FALSE),0)</f>
        <v>3528</v>
      </c>
      <c r="Q278" s="10">
        <f>Table2[[#This Row],[Quantity]]*Table2[[#This Row],[Unit Price]]</f>
        <v>5040</v>
      </c>
      <c r="R278" s="10">
        <f>Table2[[#This Row],[Sales Revenue]]-Table2[[#This Row],[Total Cost After Product Percentage Calc]]</f>
        <v>1512</v>
      </c>
    </row>
    <row r="279" spans="1:18" ht="14.25" customHeight="1" x14ac:dyDescent="0.3">
      <c r="A279" s="1">
        <v>278</v>
      </c>
      <c r="B279" s="1" t="s">
        <v>330</v>
      </c>
      <c r="C279" s="1" t="s">
        <v>22</v>
      </c>
      <c r="D279" s="1" t="s">
        <v>23</v>
      </c>
      <c r="E279" s="2">
        <v>45360</v>
      </c>
      <c r="F279" s="4">
        <v>45371</v>
      </c>
      <c r="G279" s="1">
        <v>3</v>
      </c>
      <c r="H279" s="1">
        <v>80</v>
      </c>
      <c r="I279" s="1" t="s">
        <v>14</v>
      </c>
      <c r="J279" s="1" t="s">
        <v>298</v>
      </c>
      <c r="K279" s="1" t="s">
        <v>49</v>
      </c>
      <c r="L279" t="str">
        <f>TEXT(Table2[[#This Row],[Order Date]],"YYY")</f>
        <v>2024</v>
      </c>
      <c r="M279" t="str">
        <f>TEXT(Table2[[#This Row],[Order Date]],"MMM")</f>
        <v>Mar</v>
      </c>
      <c r="N279" t="str">
        <f>TEXT(Table2[[#This Row],[Order Date]],"DDD")</f>
        <v>Sat</v>
      </c>
      <c r="O279">
        <f>DATEDIF(Table2[[#This Row],[Order Date]],Table2[[#This Row],[Delivered Date]],"D")</f>
        <v>11</v>
      </c>
      <c r="P279" s="10">
        <f>ROUND(Table2[[#This Row],[Quantity]]*Table2[[#This Row],[Unit Price]]*VLOOKUP(Table2[[#This Row],[Product Name]],Table_1[#All],2,FALSE),0)</f>
        <v>180</v>
      </c>
      <c r="Q279" s="10">
        <f>Table2[[#This Row],[Quantity]]*Table2[[#This Row],[Unit Price]]</f>
        <v>240</v>
      </c>
      <c r="R279" s="10">
        <f>Table2[[#This Row],[Sales Revenue]]-Table2[[#This Row],[Total Cost After Product Percentage Calc]]</f>
        <v>60</v>
      </c>
    </row>
    <row r="280" spans="1:18" ht="14.25" customHeight="1" x14ac:dyDescent="0.3">
      <c r="A280" s="1">
        <v>279</v>
      </c>
      <c r="B280" s="1" t="s">
        <v>331</v>
      </c>
      <c r="C280" s="1" t="s">
        <v>18</v>
      </c>
      <c r="D280" s="1" t="s">
        <v>47</v>
      </c>
      <c r="E280" s="2">
        <v>45403</v>
      </c>
      <c r="F280" s="4">
        <v>45409</v>
      </c>
      <c r="G280" s="1">
        <v>2</v>
      </c>
      <c r="H280" s="1">
        <v>928</v>
      </c>
      <c r="I280" s="1" t="s">
        <v>14</v>
      </c>
      <c r="J280" s="1" t="s">
        <v>295</v>
      </c>
      <c r="K280" s="1" t="s">
        <v>16</v>
      </c>
      <c r="L280" t="str">
        <f>TEXT(Table2[[#This Row],[Order Date]],"YYY")</f>
        <v>2024</v>
      </c>
      <c r="M280" t="str">
        <f>TEXT(Table2[[#This Row],[Order Date]],"MMM")</f>
        <v>Apr</v>
      </c>
      <c r="N280" t="str">
        <f>TEXT(Table2[[#This Row],[Order Date]],"DDD")</f>
        <v>Sun</v>
      </c>
      <c r="O280">
        <f>DATEDIF(Table2[[#This Row],[Order Date]],Table2[[#This Row],[Delivered Date]],"D")</f>
        <v>6</v>
      </c>
      <c r="P280" s="10">
        <f>ROUND(Table2[[#This Row],[Quantity]]*Table2[[#This Row],[Unit Price]]*VLOOKUP(Table2[[#This Row],[Product Name]],Table_1[#All],2,FALSE),0)</f>
        <v>1114</v>
      </c>
      <c r="Q280" s="10">
        <f>Table2[[#This Row],[Quantity]]*Table2[[#This Row],[Unit Price]]</f>
        <v>1856</v>
      </c>
      <c r="R280" s="10">
        <f>Table2[[#This Row],[Sales Revenue]]-Table2[[#This Row],[Total Cost After Product Percentage Calc]]</f>
        <v>742</v>
      </c>
    </row>
    <row r="281" spans="1:18" ht="14.25" customHeight="1" x14ac:dyDescent="0.3">
      <c r="A281" s="1">
        <v>280</v>
      </c>
      <c r="B281" s="1" t="s">
        <v>332</v>
      </c>
      <c r="C281" s="1" t="s">
        <v>18</v>
      </c>
      <c r="D281" s="1" t="s">
        <v>47</v>
      </c>
      <c r="E281" s="2">
        <v>45471</v>
      </c>
      <c r="F281" s="4">
        <v>45484</v>
      </c>
      <c r="G281" s="1">
        <v>7</v>
      </c>
      <c r="H281" s="1">
        <v>332</v>
      </c>
      <c r="I281" s="1" t="s">
        <v>14</v>
      </c>
      <c r="J281" s="1" t="s">
        <v>24</v>
      </c>
      <c r="K281" s="1" t="s">
        <v>49</v>
      </c>
      <c r="L281" t="str">
        <f>TEXT(Table2[[#This Row],[Order Date]],"YYY")</f>
        <v>2024</v>
      </c>
      <c r="M281" t="str">
        <f>TEXT(Table2[[#This Row],[Order Date]],"MMM")</f>
        <v>Jun</v>
      </c>
      <c r="N281" t="str">
        <f>TEXT(Table2[[#This Row],[Order Date]],"DDD")</f>
        <v>Fri</v>
      </c>
      <c r="O281">
        <f>DATEDIF(Table2[[#This Row],[Order Date]],Table2[[#This Row],[Delivered Date]],"D")</f>
        <v>13</v>
      </c>
      <c r="P281" s="10">
        <f>ROUND(Table2[[#This Row],[Quantity]]*Table2[[#This Row],[Unit Price]]*VLOOKUP(Table2[[#This Row],[Product Name]],Table_1[#All],2,FALSE),0)</f>
        <v>1394</v>
      </c>
      <c r="Q281" s="10">
        <f>Table2[[#This Row],[Quantity]]*Table2[[#This Row],[Unit Price]]</f>
        <v>2324</v>
      </c>
      <c r="R281" s="10">
        <f>Table2[[#This Row],[Sales Revenue]]-Table2[[#This Row],[Total Cost After Product Percentage Calc]]</f>
        <v>930</v>
      </c>
    </row>
    <row r="282" spans="1:18" ht="14.25" customHeight="1" x14ac:dyDescent="0.3">
      <c r="A282" s="1">
        <v>281</v>
      </c>
      <c r="B282" s="1" t="s">
        <v>333</v>
      </c>
      <c r="C282" s="1" t="s">
        <v>12</v>
      </c>
      <c r="D282" s="1" t="s">
        <v>100</v>
      </c>
      <c r="E282" s="2">
        <v>45397</v>
      </c>
      <c r="F282" s="4">
        <v>45400</v>
      </c>
      <c r="G282" s="1">
        <v>9</v>
      </c>
      <c r="H282" s="1">
        <v>631</v>
      </c>
      <c r="I282" s="1" t="s">
        <v>30</v>
      </c>
      <c r="J282" s="1" t="s">
        <v>298</v>
      </c>
      <c r="K282" s="1" t="s">
        <v>20</v>
      </c>
      <c r="L282" t="str">
        <f>TEXT(Table2[[#This Row],[Order Date]],"YYY")</f>
        <v>2024</v>
      </c>
      <c r="M282" t="str">
        <f>TEXT(Table2[[#This Row],[Order Date]],"MMM")</f>
        <v>Apr</v>
      </c>
      <c r="N282" t="str">
        <f>TEXT(Table2[[#This Row],[Order Date]],"DDD")</f>
        <v>Mon</v>
      </c>
      <c r="O282">
        <f>DATEDIF(Table2[[#This Row],[Order Date]],Table2[[#This Row],[Delivered Date]],"D")</f>
        <v>3</v>
      </c>
      <c r="P282" s="10">
        <f>ROUND(Table2[[#This Row],[Quantity]]*Table2[[#This Row],[Unit Price]]*VLOOKUP(Table2[[#This Row],[Product Name]],Table_1[#All],2,FALSE),0)</f>
        <v>3975</v>
      </c>
      <c r="Q282" s="10">
        <f>Table2[[#This Row],[Quantity]]*Table2[[#This Row],[Unit Price]]</f>
        <v>5679</v>
      </c>
      <c r="R282" s="10">
        <f>Table2[[#This Row],[Sales Revenue]]-Table2[[#This Row],[Total Cost After Product Percentage Calc]]</f>
        <v>1704</v>
      </c>
    </row>
    <row r="283" spans="1:18" ht="14.25" customHeight="1" x14ac:dyDescent="0.3">
      <c r="A283" s="1">
        <v>282</v>
      </c>
      <c r="B283" s="1" t="s">
        <v>334</v>
      </c>
      <c r="C283" s="1" t="s">
        <v>26</v>
      </c>
      <c r="D283" s="1" t="s">
        <v>119</v>
      </c>
      <c r="E283" s="2">
        <v>45415</v>
      </c>
      <c r="F283" s="4">
        <v>45419</v>
      </c>
      <c r="G283" s="1">
        <v>8</v>
      </c>
      <c r="H283" s="1">
        <v>663</v>
      </c>
      <c r="I283" s="1" t="s">
        <v>30</v>
      </c>
      <c r="J283" s="1" t="s">
        <v>298</v>
      </c>
      <c r="K283" s="1" t="s">
        <v>32</v>
      </c>
      <c r="L283" t="str">
        <f>TEXT(Table2[[#This Row],[Order Date]],"YYY")</f>
        <v>2024</v>
      </c>
      <c r="M283" t="str">
        <f>TEXT(Table2[[#This Row],[Order Date]],"MMM")</f>
        <v>May</v>
      </c>
      <c r="N283" t="str">
        <f>TEXT(Table2[[#This Row],[Order Date]],"DDD")</f>
        <v>Fri</v>
      </c>
      <c r="O283">
        <f>DATEDIF(Table2[[#This Row],[Order Date]],Table2[[#This Row],[Delivered Date]],"D")</f>
        <v>4</v>
      </c>
      <c r="P283" s="10">
        <f>ROUND(Table2[[#This Row],[Quantity]]*Table2[[#This Row],[Unit Price]]*VLOOKUP(Table2[[#This Row],[Product Name]],Table_1[#All],2,FALSE),0)</f>
        <v>3182</v>
      </c>
      <c r="Q283" s="10">
        <f>Table2[[#This Row],[Quantity]]*Table2[[#This Row],[Unit Price]]</f>
        <v>5304</v>
      </c>
      <c r="R283" s="10">
        <f>Table2[[#This Row],[Sales Revenue]]-Table2[[#This Row],[Total Cost After Product Percentage Calc]]</f>
        <v>2122</v>
      </c>
    </row>
    <row r="284" spans="1:18" ht="14.25" customHeight="1" x14ac:dyDescent="0.3">
      <c r="A284" s="1">
        <v>283</v>
      </c>
      <c r="B284" s="1" t="s">
        <v>335</v>
      </c>
      <c r="C284" s="1" t="s">
        <v>34</v>
      </c>
      <c r="D284" s="1" t="s">
        <v>35</v>
      </c>
      <c r="E284" s="2">
        <v>45641</v>
      </c>
      <c r="F284" s="4">
        <v>45646</v>
      </c>
      <c r="G284" s="1">
        <v>3</v>
      </c>
      <c r="H284" s="1">
        <v>791</v>
      </c>
      <c r="I284" s="1" t="s">
        <v>14</v>
      </c>
      <c r="J284" s="1" t="s">
        <v>31</v>
      </c>
      <c r="K284" s="1" t="s">
        <v>16</v>
      </c>
      <c r="L284" t="str">
        <f>TEXT(Table2[[#This Row],[Order Date]],"YYY")</f>
        <v>2024</v>
      </c>
      <c r="M284" t="str">
        <f>TEXT(Table2[[#This Row],[Order Date]],"MMM")</f>
        <v>Dec</v>
      </c>
      <c r="N284" t="str">
        <f>TEXT(Table2[[#This Row],[Order Date]],"DDD")</f>
        <v>Sun</v>
      </c>
      <c r="O284">
        <f>DATEDIF(Table2[[#This Row],[Order Date]],Table2[[#This Row],[Delivered Date]],"D")</f>
        <v>5</v>
      </c>
      <c r="P284" s="10">
        <f>ROUND(Table2[[#This Row],[Quantity]]*Table2[[#This Row],[Unit Price]]*VLOOKUP(Table2[[#This Row],[Product Name]],Table_1[#All],2,FALSE),0)</f>
        <v>1780</v>
      </c>
      <c r="Q284" s="10">
        <f>Table2[[#This Row],[Quantity]]*Table2[[#This Row],[Unit Price]]</f>
        <v>2373</v>
      </c>
      <c r="R284" s="10">
        <f>Table2[[#This Row],[Sales Revenue]]-Table2[[#This Row],[Total Cost After Product Percentage Calc]]</f>
        <v>593</v>
      </c>
    </row>
    <row r="285" spans="1:18" ht="14.25" customHeight="1" x14ac:dyDescent="0.3">
      <c r="A285" s="1">
        <v>284</v>
      </c>
      <c r="B285" s="1" t="s">
        <v>336</v>
      </c>
      <c r="C285" s="1" t="s">
        <v>18</v>
      </c>
      <c r="D285" s="1" t="s">
        <v>60</v>
      </c>
      <c r="E285" s="2">
        <v>45613</v>
      </c>
      <c r="F285" s="4">
        <v>45616</v>
      </c>
      <c r="G285" s="1">
        <v>9</v>
      </c>
      <c r="H285" s="1">
        <v>795</v>
      </c>
      <c r="I285" s="1" t="s">
        <v>30</v>
      </c>
      <c r="J285" s="1" t="s">
        <v>31</v>
      </c>
      <c r="K285" s="1" t="s">
        <v>49</v>
      </c>
      <c r="L285" t="str">
        <f>TEXT(Table2[[#This Row],[Order Date]],"YYY")</f>
        <v>2024</v>
      </c>
      <c r="M285" t="str">
        <f>TEXT(Table2[[#This Row],[Order Date]],"MMM")</f>
        <v>Nov</v>
      </c>
      <c r="N285" t="str">
        <f>TEXT(Table2[[#This Row],[Order Date]],"DDD")</f>
        <v>Sun</v>
      </c>
      <c r="O285">
        <f>DATEDIF(Table2[[#This Row],[Order Date]],Table2[[#This Row],[Delivered Date]],"D")</f>
        <v>3</v>
      </c>
      <c r="P285" s="10">
        <f>ROUND(Table2[[#This Row],[Quantity]]*Table2[[#This Row],[Unit Price]]*VLOOKUP(Table2[[#This Row],[Product Name]],Table_1[#All],2,FALSE),0)</f>
        <v>3935</v>
      </c>
      <c r="Q285" s="10">
        <f>Table2[[#This Row],[Quantity]]*Table2[[#This Row],[Unit Price]]</f>
        <v>7155</v>
      </c>
      <c r="R285" s="10">
        <f>Table2[[#This Row],[Sales Revenue]]-Table2[[#This Row],[Total Cost After Product Percentage Calc]]</f>
        <v>3220</v>
      </c>
    </row>
    <row r="286" spans="1:18" ht="14.25" customHeight="1" x14ac:dyDescent="0.3">
      <c r="A286" s="1">
        <v>285</v>
      </c>
      <c r="B286" s="1" t="s">
        <v>337</v>
      </c>
      <c r="C286" s="1" t="s">
        <v>12</v>
      </c>
      <c r="D286" s="1" t="s">
        <v>100</v>
      </c>
      <c r="E286" s="2">
        <v>45332</v>
      </c>
      <c r="F286" s="4">
        <v>45346</v>
      </c>
      <c r="G286" s="1">
        <v>9</v>
      </c>
      <c r="H286" s="1">
        <v>953</v>
      </c>
      <c r="I286" s="1" t="s">
        <v>30</v>
      </c>
      <c r="J286" s="1" t="s">
        <v>295</v>
      </c>
      <c r="K286" s="1" t="s">
        <v>32</v>
      </c>
      <c r="L286" t="str">
        <f>TEXT(Table2[[#This Row],[Order Date]],"YYY")</f>
        <v>2024</v>
      </c>
      <c r="M286" t="str">
        <f>TEXT(Table2[[#This Row],[Order Date]],"MMM")</f>
        <v>Feb</v>
      </c>
      <c r="N286" t="str">
        <f>TEXT(Table2[[#This Row],[Order Date]],"DDD")</f>
        <v>Sat</v>
      </c>
      <c r="O286">
        <f>DATEDIF(Table2[[#This Row],[Order Date]],Table2[[#This Row],[Delivered Date]],"D")</f>
        <v>14</v>
      </c>
      <c r="P286" s="10">
        <f>ROUND(Table2[[#This Row],[Quantity]]*Table2[[#This Row],[Unit Price]]*VLOOKUP(Table2[[#This Row],[Product Name]],Table_1[#All],2,FALSE),0)</f>
        <v>6004</v>
      </c>
      <c r="Q286" s="10">
        <f>Table2[[#This Row],[Quantity]]*Table2[[#This Row],[Unit Price]]</f>
        <v>8577</v>
      </c>
      <c r="R286" s="10">
        <f>Table2[[#This Row],[Sales Revenue]]-Table2[[#This Row],[Total Cost After Product Percentage Calc]]</f>
        <v>2573</v>
      </c>
    </row>
    <row r="287" spans="1:18" ht="14.25" customHeight="1" x14ac:dyDescent="0.3">
      <c r="A287" s="1">
        <v>286</v>
      </c>
      <c r="B287" s="1" t="s">
        <v>338</v>
      </c>
      <c r="C287" s="1" t="s">
        <v>34</v>
      </c>
      <c r="D287" s="1" t="s">
        <v>54</v>
      </c>
      <c r="E287" s="2">
        <v>45592</v>
      </c>
      <c r="F287" s="4">
        <v>45606</v>
      </c>
      <c r="G287" s="1">
        <v>2</v>
      </c>
      <c r="H287" s="1">
        <v>327</v>
      </c>
      <c r="I287" s="1" t="s">
        <v>30</v>
      </c>
      <c r="J287" s="1" t="s">
        <v>298</v>
      </c>
      <c r="K287" s="1" t="s">
        <v>32</v>
      </c>
      <c r="L287" t="str">
        <f>TEXT(Table2[[#This Row],[Order Date]],"YYY")</f>
        <v>2024</v>
      </c>
      <c r="M287" t="str">
        <f>TEXT(Table2[[#This Row],[Order Date]],"MMM")</f>
        <v>Oct</v>
      </c>
      <c r="N287" t="str">
        <f>TEXT(Table2[[#This Row],[Order Date]],"DDD")</f>
        <v>Sun</v>
      </c>
      <c r="O287">
        <f>DATEDIF(Table2[[#This Row],[Order Date]],Table2[[#This Row],[Delivered Date]],"D")</f>
        <v>14</v>
      </c>
      <c r="P287" s="10">
        <f>ROUND(Table2[[#This Row],[Quantity]]*Table2[[#This Row],[Unit Price]]*VLOOKUP(Table2[[#This Row],[Product Name]],Table_1[#All],2,FALSE),0)</f>
        <v>458</v>
      </c>
      <c r="Q287" s="10">
        <f>Table2[[#This Row],[Quantity]]*Table2[[#This Row],[Unit Price]]</f>
        <v>654</v>
      </c>
      <c r="R287" s="10">
        <f>Table2[[#This Row],[Sales Revenue]]-Table2[[#This Row],[Total Cost After Product Percentage Calc]]</f>
        <v>196</v>
      </c>
    </row>
    <row r="288" spans="1:18" ht="14.25" customHeight="1" x14ac:dyDescent="0.3">
      <c r="A288" s="1">
        <v>287</v>
      </c>
      <c r="B288" s="1" t="s">
        <v>339</v>
      </c>
      <c r="C288" s="1" t="s">
        <v>18</v>
      </c>
      <c r="D288" s="1" t="s">
        <v>64</v>
      </c>
      <c r="E288" s="2">
        <v>45320</v>
      </c>
      <c r="F288" s="4">
        <v>45324</v>
      </c>
      <c r="G288" s="1">
        <v>5</v>
      </c>
      <c r="H288" s="1">
        <v>692</v>
      </c>
      <c r="I288" s="1" t="s">
        <v>14</v>
      </c>
      <c r="J288" s="1" t="s">
        <v>298</v>
      </c>
      <c r="K288" s="1" t="s">
        <v>20</v>
      </c>
      <c r="L288" t="str">
        <f>TEXT(Table2[[#This Row],[Order Date]],"YYY")</f>
        <v>2024</v>
      </c>
      <c r="M288" t="str">
        <f>TEXT(Table2[[#This Row],[Order Date]],"MMM")</f>
        <v>Jan</v>
      </c>
      <c r="N288" t="str">
        <f>TEXT(Table2[[#This Row],[Order Date]],"DDD")</f>
        <v>Mon</v>
      </c>
      <c r="O288">
        <f>DATEDIF(Table2[[#This Row],[Order Date]],Table2[[#This Row],[Delivered Date]],"D")</f>
        <v>4</v>
      </c>
      <c r="P288" s="10">
        <f>ROUND(Table2[[#This Row],[Quantity]]*Table2[[#This Row],[Unit Price]]*VLOOKUP(Table2[[#This Row],[Product Name]],Table_1[#All],2,FALSE),0)</f>
        <v>2249</v>
      </c>
      <c r="Q288" s="10">
        <f>Table2[[#This Row],[Quantity]]*Table2[[#This Row],[Unit Price]]</f>
        <v>3460</v>
      </c>
      <c r="R288" s="10">
        <f>Table2[[#This Row],[Sales Revenue]]-Table2[[#This Row],[Total Cost After Product Percentage Calc]]</f>
        <v>1211</v>
      </c>
    </row>
    <row r="289" spans="1:18" ht="14.25" customHeight="1" x14ac:dyDescent="0.3">
      <c r="A289" s="1">
        <v>288</v>
      </c>
      <c r="B289" s="1" t="s">
        <v>340</v>
      </c>
      <c r="C289" s="1" t="s">
        <v>12</v>
      </c>
      <c r="D289" s="1" t="s">
        <v>62</v>
      </c>
      <c r="E289" s="2">
        <v>45651</v>
      </c>
      <c r="F289" s="4">
        <v>45658</v>
      </c>
      <c r="G289" s="1">
        <v>1</v>
      </c>
      <c r="H289" s="1">
        <v>177</v>
      </c>
      <c r="I289" s="1" t="s">
        <v>30</v>
      </c>
      <c r="J289" s="1" t="s">
        <v>31</v>
      </c>
      <c r="K289" s="1" t="s">
        <v>20</v>
      </c>
      <c r="L289" t="str">
        <f>TEXT(Table2[[#This Row],[Order Date]],"YYY")</f>
        <v>2024</v>
      </c>
      <c r="M289" t="str">
        <f>TEXT(Table2[[#This Row],[Order Date]],"MMM")</f>
        <v>Dec</v>
      </c>
      <c r="N289" t="str">
        <f>TEXT(Table2[[#This Row],[Order Date]],"DDD")</f>
        <v>Wed</v>
      </c>
      <c r="O289">
        <f>DATEDIF(Table2[[#This Row],[Order Date]],Table2[[#This Row],[Delivered Date]],"D")</f>
        <v>7</v>
      </c>
      <c r="P289" s="10">
        <f>ROUND(Table2[[#This Row],[Quantity]]*Table2[[#This Row],[Unit Price]]*VLOOKUP(Table2[[#This Row],[Product Name]],Table_1[#All],2,FALSE),0)</f>
        <v>150</v>
      </c>
      <c r="Q289" s="10">
        <f>Table2[[#This Row],[Quantity]]*Table2[[#This Row],[Unit Price]]</f>
        <v>177</v>
      </c>
      <c r="R289" s="10">
        <f>Table2[[#This Row],[Sales Revenue]]-Table2[[#This Row],[Total Cost After Product Percentage Calc]]</f>
        <v>27</v>
      </c>
    </row>
    <row r="290" spans="1:18" ht="14.25" customHeight="1" x14ac:dyDescent="0.3">
      <c r="A290" s="1">
        <v>289</v>
      </c>
      <c r="B290" s="1" t="s">
        <v>341</v>
      </c>
      <c r="C290" s="1" t="s">
        <v>18</v>
      </c>
      <c r="D290" s="1" t="s">
        <v>60</v>
      </c>
      <c r="E290" s="2">
        <v>45377</v>
      </c>
      <c r="F290" s="4">
        <v>45390</v>
      </c>
      <c r="G290" s="1">
        <v>6</v>
      </c>
      <c r="H290" s="1">
        <v>139</v>
      </c>
      <c r="I290" s="1" t="s">
        <v>30</v>
      </c>
      <c r="J290" s="1" t="s">
        <v>298</v>
      </c>
      <c r="K290" s="1" t="s">
        <v>49</v>
      </c>
      <c r="L290" t="str">
        <f>TEXT(Table2[[#This Row],[Order Date]],"YYY")</f>
        <v>2024</v>
      </c>
      <c r="M290" t="str">
        <f>TEXT(Table2[[#This Row],[Order Date]],"MMM")</f>
        <v>Mar</v>
      </c>
      <c r="N290" t="str">
        <f>TEXT(Table2[[#This Row],[Order Date]],"DDD")</f>
        <v>Tue</v>
      </c>
      <c r="O290">
        <f>DATEDIF(Table2[[#This Row],[Order Date]],Table2[[#This Row],[Delivered Date]],"D")</f>
        <v>13</v>
      </c>
      <c r="P290" s="10">
        <f>ROUND(Table2[[#This Row],[Quantity]]*Table2[[#This Row],[Unit Price]]*VLOOKUP(Table2[[#This Row],[Product Name]],Table_1[#All],2,FALSE),0)</f>
        <v>459</v>
      </c>
      <c r="Q290" s="10">
        <f>Table2[[#This Row],[Quantity]]*Table2[[#This Row],[Unit Price]]</f>
        <v>834</v>
      </c>
      <c r="R290" s="10">
        <f>Table2[[#This Row],[Sales Revenue]]-Table2[[#This Row],[Total Cost After Product Percentage Calc]]</f>
        <v>375</v>
      </c>
    </row>
    <row r="291" spans="1:18" ht="14.25" customHeight="1" x14ac:dyDescent="0.3">
      <c r="A291" s="1">
        <v>290</v>
      </c>
      <c r="B291" s="1" t="s">
        <v>342</v>
      </c>
      <c r="C291" s="1" t="s">
        <v>18</v>
      </c>
      <c r="D291" s="1" t="s">
        <v>68</v>
      </c>
      <c r="E291" s="2">
        <v>45480</v>
      </c>
      <c r="F291" s="4">
        <v>45490</v>
      </c>
      <c r="G291" s="1">
        <v>3</v>
      </c>
      <c r="H291" s="1">
        <v>271</v>
      </c>
      <c r="I291" s="1" t="s">
        <v>30</v>
      </c>
      <c r="J291" s="1" t="s">
        <v>24</v>
      </c>
      <c r="K291" s="1" t="s">
        <v>16</v>
      </c>
      <c r="L291" t="str">
        <f>TEXT(Table2[[#This Row],[Order Date]],"YYY")</f>
        <v>2024</v>
      </c>
      <c r="M291" t="str">
        <f>TEXT(Table2[[#This Row],[Order Date]],"MMM")</f>
        <v>Jul</v>
      </c>
      <c r="N291" t="str">
        <f>TEXT(Table2[[#This Row],[Order Date]],"DDD")</f>
        <v>Sun</v>
      </c>
      <c r="O291">
        <f>DATEDIF(Table2[[#This Row],[Order Date]],Table2[[#This Row],[Delivered Date]],"D")</f>
        <v>10</v>
      </c>
      <c r="P291" s="10">
        <f>ROUND(Table2[[#This Row],[Quantity]]*Table2[[#This Row],[Unit Price]]*VLOOKUP(Table2[[#This Row],[Product Name]],Table_1[#All],2,FALSE),0)</f>
        <v>407</v>
      </c>
      <c r="Q291" s="10">
        <f>Table2[[#This Row],[Quantity]]*Table2[[#This Row],[Unit Price]]</f>
        <v>813</v>
      </c>
      <c r="R291" s="10">
        <f>Table2[[#This Row],[Sales Revenue]]-Table2[[#This Row],[Total Cost After Product Percentage Calc]]</f>
        <v>406</v>
      </c>
    </row>
    <row r="292" spans="1:18" ht="14.25" customHeight="1" x14ac:dyDescent="0.3">
      <c r="A292" s="1">
        <v>291</v>
      </c>
      <c r="B292" s="1" t="s">
        <v>343</v>
      </c>
      <c r="C292" s="1" t="s">
        <v>12</v>
      </c>
      <c r="D292" s="1" t="s">
        <v>62</v>
      </c>
      <c r="E292" s="2">
        <v>45552</v>
      </c>
      <c r="F292" s="4">
        <v>45555</v>
      </c>
      <c r="G292" s="1">
        <v>1</v>
      </c>
      <c r="H292" s="1">
        <v>55</v>
      </c>
      <c r="I292" s="1" t="s">
        <v>14</v>
      </c>
      <c r="J292" s="1" t="s">
        <v>24</v>
      </c>
      <c r="K292" s="1" t="s">
        <v>49</v>
      </c>
      <c r="L292" t="str">
        <f>TEXT(Table2[[#This Row],[Order Date]],"YYY")</f>
        <v>2024</v>
      </c>
      <c r="M292" t="str">
        <f>TEXT(Table2[[#This Row],[Order Date]],"MMM")</f>
        <v>Sep</v>
      </c>
      <c r="N292" t="str">
        <f>TEXT(Table2[[#This Row],[Order Date]],"DDD")</f>
        <v>Tue</v>
      </c>
      <c r="O292">
        <f>DATEDIF(Table2[[#This Row],[Order Date]],Table2[[#This Row],[Delivered Date]],"D")</f>
        <v>3</v>
      </c>
      <c r="P292" s="10">
        <f>ROUND(Table2[[#This Row],[Quantity]]*Table2[[#This Row],[Unit Price]]*VLOOKUP(Table2[[#This Row],[Product Name]],Table_1[#All],2,FALSE),0)</f>
        <v>47</v>
      </c>
      <c r="Q292" s="10">
        <f>Table2[[#This Row],[Quantity]]*Table2[[#This Row],[Unit Price]]</f>
        <v>55</v>
      </c>
      <c r="R292" s="10">
        <f>Table2[[#This Row],[Sales Revenue]]-Table2[[#This Row],[Total Cost After Product Percentage Calc]]</f>
        <v>8</v>
      </c>
    </row>
    <row r="293" spans="1:18" ht="14.25" customHeight="1" x14ac:dyDescent="0.3">
      <c r="A293" s="1">
        <v>292</v>
      </c>
      <c r="B293" s="1" t="s">
        <v>344</v>
      </c>
      <c r="C293" s="1" t="s">
        <v>12</v>
      </c>
      <c r="D293" s="1" t="s">
        <v>29</v>
      </c>
      <c r="E293" s="2">
        <v>45478</v>
      </c>
      <c r="F293" s="4">
        <v>45491</v>
      </c>
      <c r="G293" s="1">
        <v>7</v>
      </c>
      <c r="H293" s="1">
        <v>952</v>
      </c>
      <c r="I293" s="1" t="s">
        <v>14</v>
      </c>
      <c r="J293" s="1" t="s">
        <v>295</v>
      </c>
      <c r="K293" s="1" t="s">
        <v>16</v>
      </c>
      <c r="L293" t="str">
        <f>TEXT(Table2[[#This Row],[Order Date]],"YYY")</f>
        <v>2024</v>
      </c>
      <c r="M293" t="str">
        <f>TEXT(Table2[[#This Row],[Order Date]],"MMM")</f>
        <v>Jul</v>
      </c>
      <c r="N293" t="str">
        <f>TEXT(Table2[[#This Row],[Order Date]],"DDD")</f>
        <v>Fri</v>
      </c>
      <c r="O293">
        <f>DATEDIF(Table2[[#This Row],[Order Date]],Table2[[#This Row],[Delivered Date]],"D")</f>
        <v>13</v>
      </c>
      <c r="P293" s="10">
        <f>ROUND(Table2[[#This Row],[Quantity]]*Table2[[#This Row],[Unit Price]]*VLOOKUP(Table2[[#This Row],[Product Name]],Table_1[#All],2,FALSE),0)</f>
        <v>4332</v>
      </c>
      <c r="Q293" s="10">
        <f>Table2[[#This Row],[Quantity]]*Table2[[#This Row],[Unit Price]]</f>
        <v>6664</v>
      </c>
      <c r="R293" s="10">
        <f>Table2[[#This Row],[Sales Revenue]]-Table2[[#This Row],[Total Cost After Product Percentage Calc]]</f>
        <v>2332</v>
      </c>
    </row>
    <row r="294" spans="1:18" ht="14.25" customHeight="1" x14ac:dyDescent="0.3">
      <c r="A294" s="1">
        <v>293</v>
      </c>
      <c r="B294" s="1" t="s">
        <v>345</v>
      </c>
      <c r="C294" s="1" t="s">
        <v>12</v>
      </c>
      <c r="D294" s="1" t="s">
        <v>39</v>
      </c>
      <c r="E294" s="2">
        <v>45482</v>
      </c>
      <c r="F294" s="4">
        <v>45488</v>
      </c>
      <c r="G294" s="1">
        <v>2</v>
      </c>
      <c r="H294" s="1">
        <v>524</v>
      </c>
      <c r="I294" s="1" t="s">
        <v>14</v>
      </c>
      <c r="J294" s="1" t="s">
        <v>298</v>
      </c>
      <c r="K294" s="1" t="s">
        <v>20</v>
      </c>
      <c r="L294" t="str">
        <f>TEXT(Table2[[#This Row],[Order Date]],"YYY")</f>
        <v>2024</v>
      </c>
      <c r="M294" t="str">
        <f>TEXT(Table2[[#This Row],[Order Date]],"MMM")</f>
        <v>Jul</v>
      </c>
      <c r="N294" t="str">
        <f>TEXT(Table2[[#This Row],[Order Date]],"DDD")</f>
        <v>Tue</v>
      </c>
      <c r="O294">
        <f>DATEDIF(Table2[[#This Row],[Order Date]],Table2[[#This Row],[Delivered Date]],"D")</f>
        <v>6</v>
      </c>
      <c r="P294" s="10">
        <f>ROUND(Table2[[#This Row],[Quantity]]*Table2[[#This Row],[Unit Price]]*VLOOKUP(Table2[[#This Row],[Product Name]],Table_1[#All],2,FALSE),0)</f>
        <v>838</v>
      </c>
      <c r="Q294" s="10">
        <f>Table2[[#This Row],[Quantity]]*Table2[[#This Row],[Unit Price]]</f>
        <v>1048</v>
      </c>
      <c r="R294" s="10">
        <f>Table2[[#This Row],[Sales Revenue]]-Table2[[#This Row],[Total Cost After Product Percentage Calc]]</f>
        <v>210</v>
      </c>
    </row>
    <row r="295" spans="1:18" ht="14.25" customHeight="1" x14ac:dyDescent="0.3">
      <c r="A295" s="1">
        <v>294</v>
      </c>
      <c r="B295" s="1" t="s">
        <v>346</v>
      </c>
      <c r="C295" s="1" t="s">
        <v>22</v>
      </c>
      <c r="D295" s="1" t="s">
        <v>56</v>
      </c>
      <c r="E295" s="2">
        <v>45417</v>
      </c>
      <c r="F295" s="4">
        <v>45421</v>
      </c>
      <c r="G295" s="1">
        <v>3</v>
      </c>
      <c r="H295" s="1">
        <v>16</v>
      </c>
      <c r="I295" s="1" t="s">
        <v>14</v>
      </c>
      <c r="J295" s="1" t="s">
        <v>31</v>
      </c>
      <c r="K295" s="1" t="s">
        <v>32</v>
      </c>
      <c r="L295" t="str">
        <f>TEXT(Table2[[#This Row],[Order Date]],"YYY")</f>
        <v>2024</v>
      </c>
      <c r="M295" t="str">
        <f>TEXT(Table2[[#This Row],[Order Date]],"MMM")</f>
        <v>May</v>
      </c>
      <c r="N295" t="str">
        <f>TEXT(Table2[[#This Row],[Order Date]],"DDD")</f>
        <v>Sun</v>
      </c>
      <c r="O295">
        <f>DATEDIF(Table2[[#This Row],[Order Date]],Table2[[#This Row],[Delivered Date]],"D")</f>
        <v>4</v>
      </c>
      <c r="P295" s="10">
        <f>ROUND(Table2[[#This Row],[Quantity]]*Table2[[#This Row],[Unit Price]]*VLOOKUP(Table2[[#This Row],[Product Name]],Table_1[#All],2,FALSE),0)</f>
        <v>34</v>
      </c>
      <c r="Q295" s="10">
        <f>Table2[[#This Row],[Quantity]]*Table2[[#This Row],[Unit Price]]</f>
        <v>48</v>
      </c>
      <c r="R295" s="10">
        <f>Table2[[#This Row],[Sales Revenue]]-Table2[[#This Row],[Total Cost After Product Percentage Calc]]</f>
        <v>14</v>
      </c>
    </row>
    <row r="296" spans="1:18" ht="14.25" customHeight="1" x14ac:dyDescent="0.3">
      <c r="A296" s="1">
        <v>295</v>
      </c>
      <c r="B296" s="1" t="s">
        <v>347</v>
      </c>
      <c r="C296" s="1" t="s">
        <v>18</v>
      </c>
      <c r="D296" s="1" t="s">
        <v>60</v>
      </c>
      <c r="E296" s="2">
        <v>45617</v>
      </c>
      <c r="F296" s="4">
        <v>45621</v>
      </c>
      <c r="G296" s="1">
        <v>1</v>
      </c>
      <c r="H296" s="1">
        <v>983</v>
      </c>
      <c r="I296" s="1" t="s">
        <v>30</v>
      </c>
      <c r="J296" s="1" t="s">
        <v>52</v>
      </c>
      <c r="K296" s="1" t="s">
        <v>20</v>
      </c>
      <c r="L296" t="str">
        <f>TEXT(Table2[[#This Row],[Order Date]],"YYY")</f>
        <v>2024</v>
      </c>
      <c r="M296" t="str">
        <f>TEXT(Table2[[#This Row],[Order Date]],"MMM")</f>
        <v>Nov</v>
      </c>
      <c r="N296" t="str">
        <f>TEXT(Table2[[#This Row],[Order Date]],"DDD")</f>
        <v>Thu</v>
      </c>
      <c r="O296">
        <f>DATEDIF(Table2[[#This Row],[Order Date]],Table2[[#This Row],[Delivered Date]],"D")</f>
        <v>4</v>
      </c>
      <c r="P296" s="10">
        <f>ROUND(Table2[[#This Row],[Quantity]]*Table2[[#This Row],[Unit Price]]*VLOOKUP(Table2[[#This Row],[Product Name]],Table_1[#All],2,FALSE),0)</f>
        <v>541</v>
      </c>
      <c r="Q296" s="10">
        <f>Table2[[#This Row],[Quantity]]*Table2[[#This Row],[Unit Price]]</f>
        <v>983</v>
      </c>
      <c r="R296" s="10">
        <f>Table2[[#This Row],[Sales Revenue]]-Table2[[#This Row],[Total Cost After Product Percentage Calc]]</f>
        <v>442</v>
      </c>
    </row>
    <row r="297" spans="1:18" ht="14.25" customHeight="1" x14ac:dyDescent="0.3">
      <c r="A297" s="1">
        <v>296</v>
      </c>
      <c r="B297" s="1" t="s">
        <v>348</v>
      </c>
      <c r="C297" s="1" t="s">
        <v>12</v>
      </c>
      <c r="D297" s="1" t="s">
        <v>62</v>
      </c>
      <c r="E297" s="2">
        <v>45646</v>
      </c>
      <c r="F297" s="4">
        <v>45657</v>
      </c>
      <c r="G297" s="1">
        <v>5</v>
      </c>
      <c r="H297" s="1">
        <v>105</v>
      </c>
      <c r="I297" s="1" t="s">
        <v>30</v>
      </c>
      <c r="J297" s="1" t="s">
        <v>295</v>
      </c>
      <c r="K297" s="1" t="s">
        <v>32</v>
      </c>
      <c r="L297" t="str">
        <f>TEXT(Table2[[#This Row],[Order Date]],"YYY")</f>
        <v>2024</v>
      </c>
      <c r="M297" t="str">
        <f>TEXT(Table2[[#This Row],[Order Date]],"MMM")</f>
        <v>Dec</v>
      </c>
      <c r="N297" t="str">
        <f>TEXT(Table2[[#This Row],[Order Date]],"DDD")</f>
        <v>Fri</v>
      </c>
      <c r="O297">
        <f>DATEDIF(Table2[[#This Row],[Order Date]],Table2[[#This Row],[Delivered Date]],"D")</f>
        <v>11</v>
      </c>
      <c r="P297" s="10">
        <f>ROUND(Table2[[#This Row],[Quantity]]*Table2[[#This Row],[Unit Price]]*VLOOKUP(Table2[[#This Row],[Product Name]],Table_1[#All],2,FALSE),0)</f>
        <v>446</v>
      </c>
      <c r="Q297" s="10">
        <f>Table2[[#This Row],[Quantity]]*Table2[[#This Row],[Unit Price]]</f>
        <v>525</v>
      </c>
      <c r="R297" s="10">
        <f>Table2[[#This Row],[Sales Revenue]]-Table2[[#This Row],[Total Cost After Product Percentage Calc]]</f>
        <v>79</v>
      </c>
    </row>
    <row r="298" spans="1:18" ht="14.25" customHeight="1" x14ac:dyDescent="0.3">
      <c r="A298" s="1">
        <v>297</v>
      </c>
      <c r="B298" s="1" t="s">
        <v>349</v>
      </c>
      <c r="C298" s="1" t="s">
        <v>26</v>
      </c>
      <c r="D298" s="1" t="s">
        <v>27</v>
      </c>
      <c r="E298" s="2">
        <v>45526</v>
      </c>
      <c r="F298" s="4">
        <v>45540</v>
      </c>
      <c r="G298" s="1">
        <v>2</v>
      </c>
      <c r="H298" s="1">
        <v>604</v>
      </c>
      <c r="I298" s="1" t="s">
        <v>14</v>
      </c>
      <c r="J298" s="1" t="s">
        <v>295</v>
      </c>
      <c r="K298" s="1" t="s">
        <v>16</v>
      </c>
      <c r="L298" t="str">
        <f>TEXT(Table2[[#This Row],[Order Date]],"YYY")</f>
        <v>2024</v>
      </c>
      <c r="M298" t="str">
        <f>TEXT(Table2[[#This Row],[Order Date]],"MMM")</f>
        <v>Aug</v>
      </c>
      <c r="N298" t="str">
        <f>TEXT(Table2[[#This Row],[Order Date]],"DDD")</f>
        <v>Thu</v>
      </c>
      <c r="O298">
        <f>DATEDIF(Table2[[#This Row],[Order Date]],Table2[[#This Row],[Delivered Date]],"D")</f>
        <v>14</v>
      </c>
      <c r="P298" s="10">
        <f>ROUND(Table2[[#This Row],[Quantity]]*Table2[[#This Row],[Unit Price]]*VLOOKUP(Table2[[#This Row],[Product Name]],Table_1[#All],2,FALSE),0)</f>
        <v>664</v>
      </c>
      <c r="Q298" s="10">
        <f>Table2[[#This Row],[Quantity]]*Table2[[#This Row],[Unit Price]]</f>
        <v>1208</v>
      </c>
      <c r="R298" s="10">
        <f>Table2[[#This Row],[Sales Revenue]]-Table2[[#This Row],[Total Cost After Product Percentage Calc]]</f>
        <v>544</v>
      </c>
    </row>
    <row r="299" spans="1:18" ht="14.25" customHeight="1" x14ac:dyDescent="0.3">
      <c r="A299" s="1">
        <v>298</v>
      </c>
      <c r="B299" s="1" t="s">
        <v>350</v>
      </c>
      <c r="C299" s="1" t="s">
        <v>26</v>
      </c>
      <c r="D299" s="1" t="s">
        <v>119</v>
      </c>
      <c r="E299" s="2">
        <v>45595</v>
      </c>
      <c r="F299" s="4">
        <v>45605</v>
      </c>
      <c r="G299" s="1">
        <v>10</v>
      </c>
      <c r="H299" s="1">
        <v>73</v>
      </c>
      <c r="I299" s="1" t="s">
        <v>14</v>
      </c>
      <c r="J299" s="1" t="s">
        <v>31</v>
      </c>
      <c r="K299" s="1" t="s">
        <v>20</v>
      </c>
      <c r="L299" t="str">
        <f>TEXT(Table2[[#This Row],[Order Date]],"YYY")</f>
        <v>2024</v>
      </c>
      <c r="M299" t="str">
        <f>TEXT(Table2[[#This Row],[Order Date]],"MMM")</f>
        <v>Oct</v>
      </c>
      <c r="N299" t="str">
        <f>TEXT(Table2[[#This Row],[Order Date]],"DDD")</f>
        <v>Wed</v>
      </c>
      <c r="O299">
        <f>DATEDIF(Table2[[#This Row],[Order Date]],Table2[[#This Row],[Delivered Date]],"D")</f>
        <v>10</v>
      </c>
      <c r="P299" s="10">
        <f>ROUND(Table2[[#This Row],[Quantity]]*Table2[[#This Row],[Unit Price]]*VLOOKUP(Table2[[#This Row],[Product Name]],Table_1[#All],2,FALSE),0)</f>
        <v>438</v>
      </c>
      <c r="Q299" s="10">
        <f>Table2[[#This Row],[Quantity]]*Table2[[#This Row],[Unit Price]]</f>
        <v>730</v>
      </c>
      <c r="R299" s="10">
        <f>Table2[[#This Row],[Sales Revenue]]-Table2[[#This Row],[Total Cost After Product Percentage Calc]]</f>
        <v>292</v>
      </c>
    </row>
    <row r="300" spans="1:18" ht="14.25" customHeight="1" x14ac:dyDescent="0.3">
      <c r="A300" s="1">
        <v>299</v>
      </c>
      <c r="B300" s="1" t="s">
        <v>351</v>
      </c>
      <c r="C300" s="1" t="s">
        <v>26</v>
      </c>
      <c r="D300" s="1" t="s">
        <v>27</v>
      </c>
      <c r="E300" s="2">
        <v>45411</v>
      </c>
      <c r="F300" s="4">
        <v>45426</v>
      </c>
      <c r="G300" s="1">
        <v>2</v>
      </c>
      <c r="H300" s="1">
        <v>976</v>
      </c>
      <c r="I300" s="1" t="s">
        <v>30</v>
      </c>
      <c r="J300" s="1" t="s">
        <v>295</v>
      </c>
      <c r="K300" s="1" t="s">
        <v>49</v>
      </c>
      <c r="L300" t="str">
        <f>TEXT(Table2[[#This Row],[Order Date]],"YYY")</f>
        <v>2024</v>
      </c>
      <c r="M300" t="str">
        <f>TEXT(Table2[[#This Row],[Order Date]],"MMM")</f>
        <v>Apr</v>
      </c>
      <c r="N300" t="str">
        <f>TEXT(Table2[[#This Row],[Order Date]],"DDD")</f>
        <v>Mon</v>
      </c>
      <c r="O300">
        <f>DATEDIF(Table2[[#This Row],[Order Date]],Table2[[#This Row],[Delivered Date]],"D")</f>
        <v>15</v>
      </c>
      <c r="P300" s="10">
        <f>ROUND(Table2[[#This Row],[Quantity]]*Table2[[#This Row],[Unit Price]]*VLOOKUP(Table2[[#This Row],[Product Name]],Table_1[#All],2,FALSE),0)</f>
        <v>1074</v>
      </c>
      <c r="Q300" s="10">
        <f>Table2[[#This Row],[Quantity]]*Table2[[#This Row],[Unit Price]]</f>
        <v>1952</v>
      </c>
      <c r="R300" s="10">
        <f>Table2[[#This Row],[Sales Revenue]]-Table2[[#This Row],[Total Cost After Product Percentage Calc]]</f>
        <v>878</v>
      </c>
    </row>
    <row r="301" spans="1:18" ht="14.25" customHeight="1" x14ac:dyDescent="0.3">
      <c r="A301" s="1">
        <v>300</v>
      </c>
      <c r="B301" s="1" t="s">
        <v>352</v>
      </c>
      <c r="C301" s="1" t="s">
        <v>12</v>
      </c>
      <c r="D301" s="1" t="s">
        <v>13</v>
      </c>
      <c r="E301" s="2">
        <v>45372</v>
      </c>
      <c r="F301" s="4">
        <v>45375</v>
      </c>
      <c r="G301" s="1">
        <v>5</v>
      </c>
      <c r="H301" s="1">
        <v>856</v>
      </c>
      <c r="I301" s="1" t="s">
        <v>14</v>
      </c>
      <c r="J301" s="1" t="s">
        <v>298</v>
      </c>
      <c r="K301" s="1" t="s">
        <v>20</v>
      </c>
      <c r="L301" t="str">
        <f>TEXT(Table2[[#This Row],[Order Date]],"YYY")</f>
        <v>2024</v>
      </c>
      <c r="M301" t="str">
        <f>TEXT(Table2[[#This Row],[Order Date]],"MMM")</f>
        <v>Mar</v>
      </c>
      <c r="N301" t="str">
        <f>TEXT(Table2[[#This Row],[Order Date]],"DDD")</f>
        <v>Thu</v>
      </c>
      <c r="O301">
        <f>DATEDIF(Table2[[#This Row],[Order Date]],Table2[[#This Row],[Delivered Date]],"D")</f>
        <v>3</v>
      </c>
      <c r="P301" s="10">
        <f>ROUND(Table2[[#This Row],[Quantity]]*Table2[[#This Row],[Unit Price]]*VLOOKUP(Table2[[#This Row],[Product Name]],Table_1[#All],2,FALSE),0)</f>
        <v>3210</v>
      </c>
      <c r="Q301" s="10">
        <f>Table2[[#This Row],[Quantity]]*Table2[[#This Row],[Unit Price]]</f>
        <v>4280</v>
      </c>
      <c r="R301" s="10">
        <f>Table2[[#This Row],[Sales Revenue]]-Table2[[#This Row],[Total Cost After Product Percentage Calc]]</f>
        <v>1070</v>
      </c>
    </row>
    <row r="302" spans="1:18" ht="14.25" customHeight="1" x14ac:dyDescent="0.3">
      <c r="A302" s="1">
        <v>301</v>
      </c>
      <c r="B302" s="1" t="s">
        <v>353</v>
      </c>
      <c r="C302" s="1" t="s">
        <v>18</v>
      </c>
      <c r="D302" s="1" t="s">
        <v>19</v>
      </c>
      <c r="E302" s="2">
        <v>45638</v>
      </c>
      <c r="F302" s="4">
        <v>45651</v>
      </c>
      <c r="G302" s="1">
        <v>5</v>
      </c>
      <c r="H302" s="1">
        <v>276</v>
      </c>
      <c r="I302" s="1" t="s">
        <v>14</v>
      </c>
      <c r="J302" s="1" t="s">
        <v>24</v>
      </c>
      <c r="K302" s="1" t="s">
        <v>49</v>
      </c>
      <c r="L302" t="str">
        <f>TEXT(Table2[[#This Row],[Order Date]],"YYY")</f>
        <v>2024</v>
      </c>
      <c r="M302" t="str">
        <f>TEXT(Table2[[#This Row],[Order Date]],"MMM")</f>
        <v>Dec</v>
      </c>
      <c r="N302" t="str">
        <f>TEXT(Table2[[#This Row],[Order Date]],"DDD")</f>
        <v>Thu</v>
      </c>
      <c r="O302">
        <f>DATEDIF(Table2[[#This Row],[Order Date]],Table2[[#This Row],[Delivered Date]],"D")</f>
        <v>13</v>
      </c>
      <c r="P302" s="10">
        <f>ROUND(Table2[[#This Row],[Quantity]]*Table2[[#This Row],[Unit Price]]*VLOOKUP(Table2[[#This Row],[Product Name]],Table_1[#All],2,FALSE),0)</f>
        <v>690</v>
      </c>
      <c r="Q302" s="10">
        <f>Table2[[#This Row],[Quantity]]*Table2[[#This Row],[Unit Price]]</f>
        <v>1380</v>
      </c>
      <c r="R302" s="10">
        <f>Table2[[#This Row],[Sales Revenue]]-Table2[[#This Row],[Total Cost After Product Percentage Calc]]</f>
        <v>690</v>
      </c>
    </row>
    <row r="303" spans="1:18" ht="14.25" customHeight="1" x14ac:dyDescent="0.3">
      <c r="A303" s="1">
        <v>302</v>
      </c>
      <c r="B303" s="1" t="s">
        <v>354</v>
      </c>
      <c r="C303" s="1" t="s">
        <v>26</v>
      </c>
      <c r="D303" s="1" t="s">
        <v>41</v>
      </c>
      <c r="E303" s="2">
        <v>45576</v>
      </c>
      <c r="F303" s="4">
        <v>45588</v>
      </c>
      <c r="G303" s="1">
        <v>9</v>
      </c>
      <c r="H303" s="1">
        <v>265</v>
      </c>
      <c r="I303" s="1" t="s">
        <v>14</v>
      </c>
      <c r="J303" s="1" t="s">
        <v>295</v>
      </c>
      <c r="K303" s="1" t="s">
        <v>32</v>
      </c>
      <c r="L303" t="str">
        <f>TEXT(Table2[[#This Row],[Order Date]],"YYY")</f>
        <v>2024</v>
      </c>
      <c r="M303" t="str">
        <f>TEXT(Table2[[#This Row],[Order Date]],"MMM")</f>
        <v>Oct</v>
      </c>
      <c r="N303" t="str">
        <f>TEXT(Table2[[#This Row],[Order Date]],"DDD")</f>
        <v>Fri</v>
      </c>
      <c r="O303">
        <f>DATEDIF(Table2[[#This Row],[Order Date]],Table2[[#This Row],[Delivered Date]],"D")</f>
        <v>12</v>
      </c>
      <c r="P303" s="10">
        <f>ROUND(Table2[[#This Row],[Quantity]]*Table2[[#This Row],[Unit Price]]*VLOOKUP(Table2[[#This Row],[Product Name]],Table_1[#All],2,FALSE),0)</f>
        <v>1193</v>
      </c>
      <c r="Q303" s="10">
        <f>Table2[[#This Row],[Quantity]]*Table2[[#This Row],[Unit Price]]</f>
        <v>2385</v>
      </c>
      <c r="R303" s="10">
        <f>Table2[[#This Row],[Sales Revenue]]-Table2[[#This Row],[Total Cost After Product Percentage Calc]]</f>
        <v>1192</v>
      </c>
    </row>
    <row r="304" spans="1:18" ht="14.25" customHeight="1" x14ac:dyDescent="0.3">
      <c r="A304" s="1">
        <v>303</v>
      </c>
      <c r="B304" s="1" t="s">
        <v>355</v>
      </c>
      <c r="C304" s="1" t="s">
        <v>22</v>
      </c>
      <c r="D304" s="1" t="s">
        <v>43</v>
      </c>
      <c r="E304" s="2">
        <v>45298</v>
      </c>
      <c r="F304" s="4">
        <v>45303</v>
      </c>
      <c r="G304" s="1">
        <v>1</v>
      </c>
      <c r="H304" s="1">
        <v>860</v>
      </c>
      <c r="I304" s="1" t="s">
        <v>14</v>
      </c>
      <c r="J304" s="1" t="s">
        <v>24</v>
      </c>
      <c r="K304" s="1" t="s">
        <v>20</v>
      </c>
      <c r="L304" t="str">
        <f>TEXT(Table2[[#This Row],[Order Date]],"YYY")</f>
        <v>2024</v>
      </c>
      <c r="M304" t="str">
        <f>TEXT(Table2[[#This Row],[Order Date]],"MMM")</f>
        <v>Jan</v>
      </c>
      <c r="N304" t="str">
        <f>TEXT(Table2[[#This Row],[Order Date]],"DDD")</f>
        <v>Sun</v>
      </c>
      <c r="O304">
        <f>DATEDIF(Table2[[#This Row],[Order Date]],Table2[[#This Row],[Delivered Date]],"D")</f>
        <v>5</v>
      </c>
      <c r="P304" s="10">
        <f>ROUND(Table2[[#This Row],[Quantity]]*Table2[[#This Row],[Unit Price]]*VLOOKUP(Table2[[#This Row],[Product Name]],Table_1[#All],2,FALSE),0)</f>
        <v>559</v>
      </c>
      <c r="Q304" s="10">
        <f>Table2[[#This Row],[Quantity]]*Table2[[#This Row],[Unit Price]]</f>
        <v>860</v>
      </c>
      <c r="R304" s="10">
        <f>Table2[[#This Row],[Sales Revenue]]-Table2[[#This Row],[Total Cost After Product Percentage Calc]]</f>
        <v>301</v>
      </c>
    </row>
    <row r="305" spans="1:18" ht="14.25" customHeight="1" x14ac:dyDescent="0.3">
      <c r="A305" s="1">
        <v>304</v>
      </c>
      <c r="B305" s="1" t="s">
        <v>356</v>
      </c>
      <c r="C305" s="1" t="s">
        <v>22</v>
      </c>
      <c r="D305" s="1" t="s">
        <v>23</v>
      </c>
      <c r="E305" s="2">
        <v>45482</v>
      </c>
      <c r="F305" s="4">
        <v>45493</v>
      </c>
      <c r="G305" s="1">
        <v>2</v>
      </c>
      <c r="H305" s="1">
        <v>606</v>
      </c>
      <c r="I305" s="1" t="s">
        <v>14</v>
      </c>
      <c r="J305" s="1" t="s">
        <v>298</v>
      </c>
      <c r="K305" s="1" t="s">
        <v>16</v>
      </c>
      <c r="L305" t="str">
        <f>TEXT(Table2[[#This Row],[Order Date]],"YYY")</f>
        <v>2024</v>
      </c>
      <c r="M305" t="str">
        <f>TEXT(Table2[[#This Row],[Order Date]],"MMM")</f>
        <v>Jul</v>
      </c>
      <c r="N305" t="str">
        <f>TEXT(Table2[[#This Row],[Order Date]],"DDD")</f>
        <v>Tue</v>
      </c>
      <c r="O305">
        <f>DATEDIF(Table2[[#This Row],[Order Date]],Table2[[#This Row],[Delivered Date]],"D")</f>
        <v>11</v>
      </c>
      <c r="P305" s="10">
        <f>ROUND(Table2[[#This Row],[Quantity]]*Table2[[#This Row],[Unit Price]]*VLOOKUP(Table2[[#This Row],[Product Name]],Table_1[#All],2,FALSE),0)</f>
        <v>909</v>
      </c>
      <c r="Q305" s="10">
        <f>Table2[[#This Row],[Quantity]]*Table2[[#This Row],[Unit Price]]</f>
        <v>1212</v>
      </c>
      <c r="R305" s="10">
        <f>Table2[[#This Row],[Sales Revenue]]-Table2[[#This Row],[Total Cost After Product Percentage Calc]]</f>
        <v>303</v>
      </c>
    </row>
    <row r="306" spans="1:18" ht="14.25" customHeight="1" x14ac:dyDescent="0.3">
      <c r="A306" s="1">
        <v>305</v>
      </c>
      <c r="B306" s="1" t="s">
        <v>357</v>
      </c>
      <c r="C306" s="1" t="s">
        <v>12</v>
      </c>
      <c r="D306" s="1" t="s">
        <v>13</v>
      </c>
      <c r="E306" s="2">
        <v>45528</v>
      </c>
      <c r="F306" s="4">
        <v>45534</v>
      </c>
      <c r="G306" s="1">
        <v>1</v>
      </c>
      <c r="H306" s="1">
        <v>182</v>
      </c>
      <c r="I306" s="1" t="s">
        <v>30</v>
      </c>
      <c r="J306" s="1" t="s">
        <v>298</v>
      </c>
      <c r="K306" s="1" t="s">
        <v>20</v>
      </c>
      <c r="L306" t="str">
        <f>TEXT(Table2[[#This Row],[Order Date]],"YYY")</f>
        <v>2024</v>
      </c>
      <c r="M306" t="str">
        <f>TEXT(Table2[[#This Row],[Order Date]],"MMM")</f>
        <v>Aug</v>
      </c>
      <c r="N306" t="str">
        <f>TEXT(Table2[[#This Row],[Order Date]],"DDD")</f>
        <v>Sat</v>
      </c>
      <c r="O306">
        <f>DATEDIF(Table2[[#This Row],[Order Date]],Table2[[#This Row],[Delivered Date]],"D")</f>
        <v>6</v>
      </c>
      <c r="P306" s="10">
        <f>ROUND(Table2[[#This Row],[Quantity]]*Table2[[#This Row],[Unit Price]]*VLOOKUP(Table2[[#This Row],[Product Name]],Table_1[#All],2,FALSE),0)</f>
        <v>137</v>
      </c>
      <c r="Q306" s="10">
        <f>Table2[[#This Row],[Quantity]]*Table2[[#This Row],[Unit Price]]</f>
        <v>182</v>
      </c>
      <c r="R306" s="10">
        <f>Table2[[#This Row],[Sales Revenue]]-Table2[[#This Row],[Total Cost After Product Percentage Calc]]</f>
        <v>45</v>
      </c>
    </row>
    <row r="307" spans="1:18" ht="14.25" customHeight="1" x14ac:dyDescent="0.3">
      <c r="A307" s="1">
        <v>306</v>
      </c>
      <c r="B307" s="1" t="s">
        <v>358</v>
      </c>
      <c r="C307" s="1" t="s">
        <v>26</v>
      </c>
      <c r="D307" s="1" t="s">
        <v>27</v>
      </c>
      <c r="E307" s="2">
        <v>45826</v>
      </c>
      <c r="F307" s="4">
        <v>45836</v>
      </c>
      <c r="G307" s="1">
        <v>6</v>
      </c>
      <c r="H307" s="1">
        <v>973</v>
      </c>
      <c r="I307" s="1" t="s">
        <v>14</v>
      </c>
      <c r="J307" s="1" t="s">
        <v>24</v>
      </c>
      <c r="K307" s="1" t="s">
        <v>16</v>
      </c>
      <c r="L307" t="str">
        <f>TEXT(Table2[[#This Row],[Order Date]],"YYY")</f>
        <v>2025</v>
      </c>
      <c r="M307" t="str">
        <f>TEXT(Table2[[#This Row],[Order Date]],"MMM")</f>
        <v>Jun</v>
      </c>
      <c r="N307" t="str">
        <f>TEXT(Table2[[#This Row],[Order Date]],"DDD")</f>
        <v>Wed</v>
      </c>
      <c r="O307">
        <f>DATEDIF(Table2[[#This Row],[Order Date]],Table2[[#This Row],[Delivered Date]],"D")</f>
        <v>10</v>
      </c>
      <c r="P307" s="10">
        <f>ROUND(Table2[[#This Row],[Quantity]]*Table2[[#This Row],[Unit Price]]*VLOOKUP(Table2[[#This Row],[Product Name]],Table_1[#All],2,FALSE),0)</f>
        <v>3211</v>
      </c>
      <c r="Q307" s="10">
        <f>Table2[[#This Row],[Quantity]]*Table2[[#This Row],[Unit Price]]</f>
        <v>5838</v>
      </c>
      <c r="R307" s="10">
        <f>Table2[[#This Row],[Sales Revenue]]-Table2[[#This Row],[Total Cost After Product Percentage Calc]]</f>
        <v>2627</v>
      </c>
    </row>
    <row r="308" spans="1:18" ht="14.25" customHeight="1" x14ac:dyDescent="0.3">
      <c r="A308" s="1">
        <v>307</v>
      </c>
      <c r="B308" s="1" t="s">
        <v>359</v>
      </c>
      <c r="C308" s="1" t="s">
        <v>26</v>
      </c>
      <c r="D308" s="1" t="s">
        <v>27</v>
      </c>
      <c r="E308" s="2">
        <v>45690</v>
      </c>
      <c r="F308" s="4">
        <v>45696</v>
      </c>
      <c r="G308" s="1">
        <v>2</v>
      </c>
      <c r="H308" s="1">
        <v>947</v>
      </c>
      <c r="I308" s="1" t="s">
        <v>14</v>
      </c>
      <c r="J308" s="1" t="s">
        <v>31</v>
      </c>
      <c r="K308" s="1" t="s">
        <v>16</v>
      </c>
      <c r="L308" t="str">
        <f>TEXT(Table2[[#This Row],[Order Date]],"YYY")</f>
        <v>2025</v>
      </c>
      <c r="M308" t="str">
        <f>TEXT(Table2[[#This Row],[Order Date]],"MMM")</f>
        <v>Feb</v>
      </c>
      <c r="N308" t="str">
        <f>TEXT(Table2[[#This Row],[Order Date]],"DDD")</f>
        <v>Sun</v>
      </c>
      <c r="O308">
        <f>DATEDIF(Table2[[#This Row],[Order Date]],Table2[[#This Row],[Delivered Date]],"D")</f>
        <v>6</v>
      </c>
      <c r="P308" s="10">
        <f>ROUND(Table2[[#This Row],[Quantity]]*Table2[[#This Row],[Unit Price]]*VLOOKUP(Table2[[#This Row],[Product Name]],Table_1[#All],2,FALSE),0)</f>
        <v>1042</v>
      </c>
      <c r="Q308" s="10">
        <f>Table2[[#This Row],[Quantity]]*Table2[[#This Row],[Unit Price]]</f>
        <v>1894</v>
      </c>
      <c r="R308" s="10">
        <f>Table2[[#This Row],[Sales Revenue]]-Table2[[#This Row],[Total Cost After Product Percentage Calc]]</f>
        <v>852</v>
      </c>
    </row>
    <row r="309" spans="1:18" ht="14.25" customHeight="1" x14ac:dyDescent="0.3">
      <c r="A309" s="1">
        <v>308</v>
      </c>
      <c r="B309" s="1" t="s">
        <v>360</v>
      </c>
      <c r="C309" s="1" t="s">
        <v>22</v>
      </c>
      <c r="D309" s="1" t="s">
        <v>23</v>
      </c>
      <c r="E309" s="2">
        <v>45665</v>
      </c>
      <c r="F309" s="4">
        <v>45678</v>
      </c>
      <c r="G309" s="1">
        <v>1</v>
      </c>
      <c r="H309" s="1">
        <v>713</v>
      </c>
      <c r="I309" s="1" t="s">
        <v>30</v>
      </c>
      <c r="J309" s="1" t="s">
        <v>31</v>
      </c>
      <c r="K309" s="1" t="s">
        <v>20</v>
      </c>
      <c r="L309" t="str">
        <f>TEXT(Table2[[#This Row],[Order Date]],"YYY")</f>
        <v>2025</v>
      </c>
      <c r="M309" t="str">
        <f>TEXT(Table2[[#This Row],[Order Date]],"MMM")</f>
        <v>Jan</v>
      </c>
      <c r="N309" t="str">
        <f>TEXT(Table2[[#This Row],[Order Date]],"DDD")</f>
        <v>Wed</v>
      </c>
      <c r="O309">
        <f>DATEDIF(Table2[[#This Row],[Order Date]],Table2[[#This Row],[Delivered Date]],"D")</f>
        <v>13</v>
      </c>
      <c r="P309" s="10">
        <f>ROUND(Table2[[#This Row],[Quantity]]*Table2[[#This Row],[Unit Price]]*VLOOKUP(Table2[[#This Row],[Product Name]],Table_1[#All],2,FALSE),0)</f>
        <v>535</v>
      </c>
      <c r="Q309" s="10">
        <f>Table2[[#This Row],[Quantity]]*Table2[[#This Row],[Unit Price]]</f>
        <v>713</v>
      </c>
      <c r="R309" s="10">
        <f>Table2[[#This Row],[Sales Revenue]]-Table2[[#This Row],[Total Cost After Product Percentage Calc]]</f>
        <v>178</v>
      </c>
    </row>
    <row r="310" spans="1:18" ht="14.25" customHeight="1" x14ac:dyDescent="0.3">
      <c r="A310" s="1">
        <v>309</v>
      </c>
      <c r="B310" s="1" t="s">
        <v>361</v>
      </c>
      <c r="C310" s="1" t="s">
        <v>34</v>
      </c>
      <c r="D310" s="1" t="s">
        <v>45</v>
      </c>
      <c r="E310" s="2">
        <v>45811</v>
      </c>
      <c r="F310" s="4">
        <v>45819</v>
      </c>
      <c r="G310" s="1">
        <v>9</v>
      </c>
      <c r="H310" s="1">
        <v>692</v>
      </c>
      <c r="I310" s="1" t="s">
        <v>30</v>
      </c>
      <c r="J310" s="1" t="s">
        <v>24</v>
      </c>
      <c r="K310" s="1" t="s">
        <v>49</v>
      </c>
      <c r="L310" t="str">
        <f>TEXT(Table2[[#This Row],[Order Date]],"YYY")</f>
        <v>2025</v>
      </c>
      <c r="M310" t="str">
        <f>TEXT(Table2[[#This Row],[Order Date]],"MMM")</f>
        <v>Jun</v>
      </c>
      <c r="N310" t="str">
        <f>TEXT(Table2[[#This Row],[Order Date]],"DDD")</f>
        <v>Tue</v>
      </c>
      <c r="O310">
        <f>DATEDIF(Table2[[#This Row],[Order Date]],Table2[[#This Row],[Delivered Date]],"D")</f>
        <v>8</v>
      </c>
      <c r="P310" s="10">
        <f>ROUND(Table2[[#This Row],[Quantity]]*Table2[[#This Row],[Unit Price]]*VLOOKUP(Table2[[#This Row],[Product Name]],Table_1[#All],2,FALSE),0)</f>
        <v>4048</v>
      </c>
      <c r="Q310" s="10">
        <f>Table2[[#This Row],[Quantity]]*Table2[[#This Row],[Unit Price]]</f>
        <v>6228</v>
      </c>
      <c r="R310" s="10">
        <f>Table2[[#This Row],[Sales Revenue]]-Table2[[#This Row],[Total Cost After Product Percentage Calc]]</f>
        <v>2180</v>
      </c>
    </row>
    <row r="311" spans="1:18" ht="14.25" customHeight="1" x14ac:dyDescent="0.3">
      <c r="A311" s="1">
        <v>310</v>
      </c>
      <c r="B311" s="1" t="s">
        <v>362</v>
      </c>
      <c r="C311" s="1" t="s">
        <v>18</v>
      </c>
      <c r="D311" s="1" t="s">
        <v>47</v>
      </c>
      <c r="E311" s="2">
        <v>45803</v>
      </c>
      <c r="F311" s="4">
        <v>45814</v>
      </c>
      <c r="G311" s="1">
        <v>7</v>
      </c>
      <c r="H311" s="1">
        <v>305</v>
      </c>
      <c r="I311" s="1" t="s">
        <v>30</v>
      </c>
      <c r="J311" s="1" t="s">
        <v>36</v>
      </c>
      <c r="K311" s="1" t="s">
        <v>16</v>
      </c>
      <c r="L311" t="str">
        <f>TEXT(Table2[[#This Row],[Order Date]],"YYY")</f>
        <v>2025</v>
      </c>
      <c r="M311" t="str">
        <f>TEXT(Table2[[#This Row],[Order Date]],"MMM")</f>
        <v>May</v>
      </c>
      <c r="N311" t="str">
        <f>TEXT(Table2[[#This Row],[Order Date]],"DDD")</f>
        <v>Mon</v>
      </c>
      <c r="O311">
        <f>DATEDIF(Table2[[#This Row],[Order Date]],Table2[[#This Row],[Delivered Date]],"D")</f>
        <v>11</v>
      </c>
      <c r="P311" s="10">
        <f>ROUND(Table2[[#This Row],[Quantity]]*Table2[[#This Row],[Unit Price]]*VLOOKUP(Table2[[#This Row],[Product Name]],Table_1[#All],2,FALSE),0)</f>
        <v>1281</v>
      </c>
      <c r="Q311" s="10">
        <f>Table2[[#This Row],[Quantity]]*Table2[[#This Row],[Unit Price]]</f>
        <v>2135</v>
      </c>
      <c r="R311" s="10">
        <f>Table2[[#This Row],[Sales Revenue]]-Table2[[#This Row],[Total Cost After Product Percentage Calc]]</f>
        <v>854</v>
      </c>
    </row>
    <row r="312" spans="1:18" ht="14.25" customHeight="1" x14ac:dyDescent="0.3">
      <c r="A312" s="1">
        <v>311</v>
      </c>
      <c r="B312" s="1" t="s">
        <v>363</v>
      </c>
      <c r="C312" s="1" t="s">
        <v>12</v>
      </c>
      <c r="D312" s="1" t="s">
        <v>13</v>
      </c>
      <c r="E312" s="2">
        <v>45882</v>
      </c>
      <c r="F312" s="4">
        <v>45887</v>
      </c>
      <c r="G312" s="1">
        <v>7</v>
      </c>
      <c r="H312" s="1">
        <v>501</v>
      </c>
      <c r="I312" s="1" t="s">
        <v>30</v>
      </c>
      <c r="J312" s="1" t="s">
        <v>31</v>
      </c>
      <c r="K312" s="1" t="s">
        <v>49</v>
      </c>
      <c r="L312" t="str">
        <f>TEXT(Table2[[#This Row],[Order Date]],"YYY")</f>
        <v>2025</v>
      </c>
      <c r="M312" t="str">
        <f>TEXT(Table2[[#This Row],[Order Date]],"MMM")</f>
        <v>Aug</v>
      </c>
      <c r="N312" t="str">
        <f>TEXT(Table2[[#This Row],[Order Date]],"DDD")</f>
        <v>Wed</v>
      </c>
      <c r="O312">
        <f>DATEDIF(Table2[[#This Row],[Order Date]],Table2[[#This Row],[Delivered Date]],"D")</f>
        <v>5</v>
      </c>
      <c r="P312" s="10">
        <f>ROUND(Table2[[#This Row],[Quantity]]*Table2[[#This Row],[Unit Price]]*VLOOKUP(Table2[[#This Row],[Product Name]],Table_1[#All],2,FALSE),0)</f>
        <v>2630</v>
      </c>
      <c r="Q312" s="10">
        <f>Table2[[#This Row],[Quantity]]*Table2[[#This Row],[Unit Price]]</f>
        <v>3507</v>
      </c>
      <c r="R312" s="10">
        <f>Table2[[#This Row],[Sales Revenue]]-Table2[[#This Row],[Total Cost After Product Percentage Calc]]</f>
        <v>877</v>
      </c>
    </row>
    <row r="313" spans="1:18" ht="14.25" customHeight="1" x14ac:dyDescent="0.3">
      <c r="A313" s="1">
        <v>312</v>
      </c>
      <c r="B313" s="1" t="s">
        <v>364</v>
      </c>
      <c r="C313" s="1" t="s">
        <v>26</v>
      </c>
      <c r="D313" s="1" t="s">
        <v>41</v>
      </c>
      <c r="E313" s="2">
        <v>45815</v>
      </c>
      <c r="F313" s="4">
        <v>45819</v>
      </c>
      <c r="G313" s="1">
        <v>8</v>
      </c>
      <c r="H313" s="1">
        <v>329</v>
      </c>
      <c r="I313" s="1" t="s">
        <v>14</v>
      </c>
      <c r="J313" s="1" t="s">
        <v>31</v>
      </c>
      <c r="K313" s="1" t="s">
        <v>16</v>
      </c>
      <c r="L313" t="str">
        <f>TEXT(Table2[[#This Row],[Order Date]],"YYY")</f>
        <v>2025</v>
      </c>
      <c r="M313" t="str">
        <f>TEXT(Table2[[#This Row],[Order Date]],"MMM")</f>
        <v>Jun</v>
      </c>
      <c r="N313" t="str">
        <f>TEXT(Table2[[#This Row],[Order Date]],"DDD")</f>
        <v>Sat</v>
      </c>
      <c r="O313">
        <f>DATEDIF(Table2[[#This Row],[Order Date]],Table2[[#This Row],[Delivered Date]],"D")</f>
        <v>4</v>
      </c>
      <c r="P313" s="10">
        <f>ROUND(Table2[[#This Row],[Quantity]]*Table2[[#This Row],[Unit Price]]*VLOOKUP(Table2[[#This Row],[Product Name]],Table_1[#All],2,FALSE),0)</f>
        <v>1316</v>
      </c>
      <c r="Q313" s="10">
        <f>Table2[[#This Row],[Quantity]]*Table2[[#This Row],[Unit Price]]</f>
        <v>2632</v>
      </c>
      <c r="R313" s="10">
        <f>Table2[[#This Row],[Sales Revenue]]-Table2[[#This Row],[Total Cost After Product Percentage Calc]]</f>
        <v>1316</v>
      </c>
    </row>
    <row r="314" spans="1:18" ht="14.25" customHeight="1" x14ac:dyDescent="0.3">
      <c r="A314" s="1">
        <v>313</v>
      </c>
      <c r="B314" s="1" t="s">
        <v>365</v>
      </c>
      <c r="C314" s="1" t="s">
        <v>22</v>
      </c>
      <c r="D314" s="1" t="s">
        <v>23</v>
      </c>
      <c r="E314" s="2">
        <v>45665</v>
      </c>
      <c r="F314" s="4">
        <v>45672</v>
      </c>
      <c r="G314" s="1">
        <v>9</v>
      </c>
      <c r="H314" s="1">
        <v>785</v>
      </c>
      <c r="I314" s="1" t="s">
        <v>14</v>
      </c>
      <c r="J314" s="1" t="s">
        <v>52</v>
      </c>
      <c r="K314" s="1" t="s">
        <v>49</v>
      </c>
      <c r="L314" t="str">
        <f>TEXT(Table2[[#This Row],[Order Date]],"YYY")</f>
        <v>2025</v>
      </c>
      <c r="M314" t="str">
        <f>TEXT(Table2[[#This Row],[Order Date]],"MMM")</f>
        <v>Jan</v>
      </c>
      <c r="N314" t="str">
        <f>TEXT(Table2[[#This Row],[Order Date]],"DDD")</f>
        <v>Wed</v>
      </c>
      <c r="O314">
        <f>DATEDIF(Table2[[#This Row],[Order Date]],Table2[[#This Row],[Delivered Date]],"D")</f>
        <v>7</v>
      </c>
      <c r="P314" s="10">
        <f>ROUND(Table2[[#This Row],[Quantity]]*Table2[[#This Row],[Unit Price]]*VLOOKUP(Table2[[#This Row],[Product Name]],Table_1[#All],2,FALSE),0)</f>
        <v>5299</v>
      </c>
      <c r="Q314" s="10">
        <f>Table2[[#This Row],[Quantity]]*Table2[[#This Row],[Unit Price]]</f>
        <v>7065</v>
      </c>
      <c r="R314" s="10">
        <f>Table2[[#This Row],[Sales Revenue]]-Table2[[#This Row],[Total Cost After Product Percentage Calc]]</f>
        <v>1766</v>
      </c>
    </row>
    <row r="315" spans="1:18" ht="14.25" customHeight="1" x14ac:dyDescent="0.3">
      <c r="A315" s="1">
        <v>314</v>
      </c>
      <c r="B315" s="1" t="s">
        <v>366</v>
      </c>
      <c r="C315" s="1" t="s">
        <v>34</v>
      </c>
      <c r="D315" s="1" t="s">
        <v>80</v>
      </c>
      <c r="E315" s="2">
        <v>45902</v>
      </c>
      <c r="F315" s="4">
        <v>45916</v>
      </c>
      <c r="G315" s="1">
        <v>2</v>
      </c>
      <c r="H315" s="1">
        <v>530</v>
      </c>
      <c r="I315" s="1" t="s">
        <v>30</v>
      </c>
      <c r="J315" s="1" t="s">
        <v>31</v>
      </c>
      <c r="K315" s="1" t="s">
        <v>20</v>
      </c>
      <c r="L315" t="str">
        <f>TEXT(Table2[[#This Row],[Order Date]],"YYY")</f>
        <v>2025</v>
      </c>
      <c r="M315" t="str">
        <f>TEXT(Table2[[#This Row],[Order Date]],"MMM")</f>
        <v>Sep</v>
      </c>
      <c r="N315" t="str">
        <f>TEXT(Table2[[#This Row],[Order Date]],"DDD")</f>
        <v>Tue</v>
      </c>
      <c r="O315">
        <f>DATEDIF(Table2[[#This Row],[Order Date]],Table2[[#This Row],[Delivered Date]],"D")</f>
        <v>14</v>
      </c>
      <c r="P315" s="10">
        <f>ROUND(Table2[[#This Row],[Quantity]]*Table2[[#This Row],[Unit Price]]*VLOOKUP(Table2[[#This Row],[Product Name]],Table_1[#All],2,FALSE),0)</f>
        <v>795</v>
      </c>
      <c r="Q315" s="10">
        <f>Table2[[#This Row],[Quantity]]*Table2[[#This Row],[Unit Price]]</f>
        <v>1060</v>
      </c>
      <c r="R315" s="10">
        <f>Table2[[#This Row],[Sales Revenue]]-Table2[[#This Row],[Total Cost After Product Percentage Calc]]</f>
        <v>265</v>
      </c>
    </row>
    <row r="316" spans="1:18" ht="14.25" customHeight="1" x14ac:dyDescent="0.3">
      <c r="A316" s="1">
        <v>315</v>
      </c>
      <c r="B316" s="1" t="s">
        <v>367</v>
      </c>
      <c r="C316" s="1" t="s">
        <v>34</v>
      </c>
      <c r="D316" s="1" t="s">
        <v>45</v>
      </c>
      <c r="E316" s="2">
        <v>45995</v>
      </c>
      <c r="F316" s="4">
        <v>46004</v>
      </c>
      <c r="G316" s="1">
        <v>3</v>
      </c>
      <c r="H316" s="1">
        <v>799</v>
      </c>
      <c r="I316" s="1" t="s">
        <v>14</v>
      </c>
      <c r="J316" s="1" t="s">
        <v>24</v>
      </c>
      <c r="K316" s="1" t="s">
        <v>49</v>
      </c>
      <c r="L316" t="str">
        <f>TEXT(Table2[[#This Row],[Order Date]],"YYY")</f>
        <v>2025</v>
      </c>
      <c r="M316" t="str">
        <f>TEXT(Table2[[#This Row],[Order Date]],"MMM")</f>
        <v>Dec</v>
      </c>
      <c r="N316" t="str">
        <f>TEXT(Table2[[#This Row],[Order Date]],"DDD")</f>
        <v>Thu</v>
      </c>
      <c r="O316">
        <f>DATEDIF(Table2[[#This Row],[Order Date]],Table2[[#This Row],[Delivered Date]],"D")</f>
        <v>9</v>
      </c>
      <c r="P316" s="10">
        <f>ROUND(Table2[[#This Row],[Quantity]]*Table2[[#This Row],[Unit Price]]*VLOOKUP(Table2[[#This Row],[Product Name]],Table_1[#All],2,FALSE),0)</f>
        <v>1558</v>
      </c>
      <c r="Q316" s="10">
        <f>Table2[[#This Row],[Quantity]]*Table2[[#This Row],[Unit Price]]</f>
        <v>2397</v>
      </c>
      <c r="R316" s="10">
        <f>Table2[[#This Row],[Sales Revenue]]-Table2[[#This Row],[Total Cost After Product Percentage Calc]]</f>
        <v>839</v>
      </c>
    </row>
    <row r="317" spans="1:18" ht="14.25" customHeight="1" x14ac:dyDescent="0.3">
      <c r="A317" s="1">
        <v>316</v>
      </c>
      <c r="B317" s="1" t="s">
        <v>368</v>
      </c>
      <c r="C317" s="1" t="s">
        <v>34</v>
      </c>
      <c r="D317" s="1" t="s">
        <v>80</v>
      </c>
      <c r="E317" s="2">
        <v>45851</v>
      </c>
      <c r="F317" s="4">
        <v>45856</v>
      </c>
      <c r="G317" s="1">
        <v>10</v>
      </c>
      <c r="H317" s="1">
        <v>974</v>
      </c>
      <c r="I317" s="1" t="s">
        <v>14</v>
      </c>
      <c r="J317" s="1" t="s">
        <v>31</v>
      </c>
      <c r="K317" s="1" t="s">
        <v>20</v>
      </c>
      <c r="L317" t="str">
        <f>TEXT(Table2[[#This Row],[Order Date]],"YYY")</f>
        <v>2025</v>
      </c>
      <c r="M317" t="str">
        <f>TEXT(Table2[[#This Row],[Order Date]],"MMM")</f>
        <v>Jul</v>
      </c>
      <c r="N317" t="str">
        <f>TEXT(Table2[[#This Row],[Order Date]],"DDD")</f>
        <v>Sun</v>
      </c>
      <c r="O317">
        <f>DATEDIF(Table2[[#This Row],[Order Date]],Table2[[#This Row],[Delivered Date]],"D")</f>
        <v>5</v>
      </c>
      <c r="P317" s="10">
        <f>ROUND(Table2[[#This Row],[Quantity]]*Table2[[#This Row],[Unit Price]]*VLOOKUP(Table2[[#This Row],[Product Name]],Table_1[#All],2,FALSE),0)</f>
        <v>7305</v>
      </c>
      <c r="Q317" s="10">
        <f>Table2[[#This Row],[Quantity]]*Table2[[#This Row],[Unit Price]]</f>
        <v>9740</v>
      </c>
      <c r="R317" s="10">
        <f>Table2[[#This Row],[Sales Revenue]]-Table2[[#This Row],[Total Cost After Product Percentage Calc]]</f>
        <v>2435</v>
      </c>
    </row>
    <row r="318" spans="1:18" ht="14.25" customHeight="1" x14ac:dyDescent="0.3">
      <c r="A318" s="1">
        <v>317</v>
      </c>
      <c r="B318" s="1" t="s">
        <v>369</v>
      </c>
      <c r="C318" s="1" t="s">
        <v>18</v>
      </c>
      <c r="D318" s="1" t="s">
        <v>68</v>
      </c>
      <c r="E318" s="2">
        <v>45835</v>
      </c>
      <c r="F318" s="4">
        <v>45840</v>
      </c>
      <c r="G318" s="1">
        <v>3</v>
      </c>
      <c r="H318" s="1">
        <v>179</v>
      </c>
      <c r="I318" s="1" t="s">
        <v>14</v>
      </c>
      <c r="J318" s="1" t="s">
        <v>24</v>
      </c>
      <c r="K318" s="1" t="s">
        <v>49</v>
      </c>
      <c r="L318" t="str">
        <f>TEXT(Table2[[#This Row],[Order Date]],"YYY")</f>
        <v>2025</v>
      </c>
      <c r="M318" t="str">
        <f>TEXT(Table2[[#This Row],[Order Date]],"MMM")</f>
        <v>Jun</v>
      </c>
      <c r="N318" t="str">
        <f>TEXT(Table2[[#This Row],[Order Date]],"DDD")</f>
        <v>Fri</v>
      </c>
      <c r="O318">
        <f>DATEDIF(Table2[[#This Row],[Order Date]],Table2[[#This Row],[Delivered Date]],"D")</f>
        <v>5</v>
      </c>
      <c r="P318" s="10">
        <f>ROUND(Table2[[#This Row],[Quantity]]*Table2[[#This Row],[Unit Price]]*VLOOKUP(Table2[[#This Row],[Product Name]],Table_1[#All],2,FALSE),0)</f>
        <v>269</v>
      </c>
      <c r="Q318" s="10">
        <f>Table2[[#This Row],[Quantity]]*Table2[[#This Row],[Unit Price]]</f>
        <v>537</v>
      </c>
      <c r="R318" s="10">
        <f>Table2[[#This Row],[Sales Revenue]]-Table2[[#This Row],[Total Cost After Product Percentage Calc]]</f>
        <v>268</v>
      </c>
    </row>
    <row r="319" spans="1:18" ht="14.25" customHeight="1" x14ac:dyDescent="0.3">
      <c r="A319" s="1">
        <v>318</v>
      </c>
      <c r="B319" s="1" t="s">
        <v>370</v>
      </c>
      <c r="C319" s="1" t="s">
        <v>18</v>
      </c>
      <c r="D319" s="1" t="s">
        <v>68</v>
      </c>
      <c r="E319" s="2">
        <v>45725</v>
      </c>
      <c r="F319" s="4">
        <v>45730</v>
      </c>
      <c r="G319" s="1">
        <v>4</v>
      </c>
      <c r="H319" s="1">
        <v>49</v>
      </c>
      <c r="I319" s="1" t="s">
        <v>30</v>
      </c>
      <c r="J319" s="1" t="s">
        <v>52</v>
      </c>
      <c r="K319" s="1" t="s">
        <v>20</v>
      </c>
      <c r="L319" t="str">
        <f>TEXT(Table2[[#This Row],[Order Date]],"YYY")</f>
        <v>2025</v>
      </c>
      <c r="M319" t="str">
        <f>TEXT(Table2[[#This Row],[Order Date]],"MMM")</f>
        <v>Mar</v>
      </c>
      <c r="N319" t="str">
        <f>TEXT(Table2[[#This Row],[Order Date]],"DDD")</f>
        <v>Sun</v>
      </c>
      <c r="O319">
        <f>DATEDIF(Table2[[#This Row],[Order Date]],Table2[[#This Row],[Delivered Date]],"D")</f>
        <v>5</v>
      </c>
      <c r="P319" s="10">
        <f>ROUND(Table2[[#This Row],[Quantity]]*Table2[[#This Row],[Unit Price]]*VLOOKUP(Table2[[#This Row],[Product Name]],Table_1[#All],2,FALSE),0)</f>
        <v>98</v>
      </c>
      <c r="Q319" s="10">
        <f>Table2[[#This Row],[Quantity]]*Table2[[#This Row],[Unit Price]]</f>
        <v>196</v>
      </c>
      <c r="R319" s="10">
        <f>Table2[[#This Row],[Sales Revenue]]-Table2[[#This Row],[Total Cost After Product Percentage Calc]]</f>
        <v>98</v>
      </c>
    </row>
    <row r="320" spans="1:18" ht="14.25" customHeight="1" x14ac:dyDescent="0.3">
      <c r="A320" s="1">
        <v>319</v>
      </c>
      <c r="B320" s="1" t="s">
        <v>371</v>
      </c>
      <c r="C320" s="1" t="s">
        <v>26</v>
      </c>
      <c r="D320" s="1" t="s">
        <v>41</v>
      </c>
      <c r="E320" s="2">
        <v>45827</v>
      </c>
      <c r="F320" s="4">
        <v>45833</v>
      </c>
      <c r="G320" s="1">
        <v>7</v>
      </c>
      <c r="H320" s="1">
        <v>409</v>
      </c>
      <c r="I320" s="1" t="s">
        <v>14</v>
      </c>
      <c r="J320" s="1" t="s">
        <v>36</v>
      </c>
      <c r="K320" s="1" t="s">
        <v>32</v>
      </c>
      <c r="L320" t="str">
        <f>TEXT(Table2[[#This Row],[Order Date]],"YYY")</f>
        <v>2025</v>
      </c>
      <c r="M320" t="str">
        <f>TEXT(Table2[[#This Row],[Order Date]],"MMM")</f>
        <v>Jun</v>
      </c>
      <c r="N320" t="str">
        <f>TEXT(Table2[[#This Row],[Order Date]],"DDD")</f>
        <v>Thu</v>
      </c>
      <c r="O320">
        <f>DATEDIF(Table2[[#This Row],[Order Date]],Table2[[#This Row],[Delivered Date]],"D")</f>
        <v>6</v>
      </c>
      <c r="P320" s="10">
        <f>ROUND(Table2[[#This Row],[Quantity]]*Table2[[#This Row],[Unit Price]]*VLOOKUP(Table2[[#This Row],[Product Name]],Table_1[#All],2,FALSE),0)</f>
        <v>1432</v>
      </c>
      <c r="Q320" s="10">
        <f>Table2[[#This Row],[Quantity]]*Table2[[#This Row],[Unit Price]]</f>
        <v>2863</v>
      </c>
      <c r="R320" s="10">
        <f>Table2[[#This Row],[Sales Revenue]]-Table2[[#This Row],[Total Cost After Product Percentage Calc]]</f>
        <v>1431</v>
      </c>
    </row>
    <row r="321" spans="1:18" ht="14.25" customHeight="1" x14ac:dyDescent="0.3">
      <c r="A321" s="1">
        <v>320</v>
      </c>
      <c r="B321" s="1" t="s">
        <v>372</v>
      </c>
      <c r="C321" s="1" t="s">
        <v>34</v>
      </c>
      <c r="D321" s="1" t="s">
        <v>45</v>
      </c>
      <c r="E321" s="2">
        <v>45978</v>
      </c>
      <c r="F321" s="4">
        <v>45984</v>
      </c>
      <c r="G321" s="1">
        <v>4</v>
      </c>
      <c r="H321" s="1">
        <v>149</v>
      </c>
      <c r="I321" s="1" t="s">
        <v>14</v>
      </c>
      <c r="J321" s="1" t="s">
        <v>24</v>
      </c>
      <c r="K321" s="1" t="s">
        <v>32</v>
      </c>
      <c r="L321" t="str">
        <f>TEXT(Table2[[#This Row],[Order Date]],"YYY")</f>
        <v>2025</v>
      </c>
      <c r="M321" t="str">
        <f>TEXT(Table2[[#This Row],[Order Date]],"MMM")</f>
        <v>Nov</v>
      </c>
      <c r="N321" t="str">
        <f>TEXT(Table2[[#This Row],[Order Date]],"DDD")</f>
        <v>Mon</v>
      </c>
      <c r="O321">
        <f>DATEDIF(Table2[[#This Row],[Order Date]],Table2[[#This Row],[Delivered Date]],"D")</f>
        <v>6</v>
      </c>
      <c r="P321" s="10">
        <f>ROUND(Table2[[#This Row],[Quantity]]*Table2[[#This Row],[Unit Price]]*VLOOKUP(Table2[[#This Row],[Product Name]],Table_1[#All],2,FALSE),0)</f>
        <v>387</v>
      </c>
      <c r="Q321" s="10">
        <f>Table2[[#This Row],[Quantity]]*Table2[[#This Row],[Unit Price]]</f>
        <v>596</v>
      </c>
      <c r="R321" s="10">
        <f>Table2[[#This Row],[Sales Revenue]]-Table2[[#This Row],[Total Cost After Product Percentage Calc]]</f>
        <v>209</v>
      </c>
    </row>
    <row r="322" spans="1:18" ht="14.25" customHeight="1" x14ac:dyDescent="0.3">
      <c r="A322" s="1">
        <v>321</v>
      </c>
      <c r="B322" s="1" t="s">
        <v>373</v>
      </c>
      <c r="C322" s="1" t="s">
        <v>22</v>
      </c>
      <c r="D322" s="1" t="s">
        <v>58</v>
      </c>
      <c r="E322" s="2">
        <v>45875</v>
      </c>
      <c r="F322" s="4">
        <v>45881</v>
      </c>
      <c r="G322" s="1">
        <v>5</v>
      </c>
      <c r="H322" s="1">
        <v>285</v>
      </c>
      <c r="I322" s="1" t="s">
        <v>14</v>
      </c>
      <c r="J322" s="1" t="s">
        <v>15</v>
      </c>
      <c r="K322" s="1" t="s">
        <v>49</v>
      </c>
      <c r="L322" t="str">
        <f>TEXT(Table2[[#This Row],[Order Date]],"YYY")</f>
        <v>2025</v>
      </c>
      <c r="M322" t="str">
        <f>TEXT(Table2[[#This Row],[Order Date]],"MMM")</f>
        <v>Aug</v>
      </c>
      <c r="N322" t="str">
        <f>TEXT(Table2[[#This Row],[Order Date]],"DDD")</f>
        <v>Wed</v>
      </c>
      <c r="O322">
        <f>DATEDIF(Table2[[#This Row],[Order Date]],Table2[[#This Row],[Delivered Date]],"D")</f>
        <v>6</v>
      </c>
      <c r="P322" s="10">
        <f>ROUND(Table2[[#This Row],[Quantity]]*Table2[[#This Row],[Unit Price]]*VLOOKUP(Table2[[#This Row],[Product Name]],Table_1[#All],2,FALSE),0)</f>
        <v>998</v>
      </c>
      <c r="Q322" s="10">
        <f>Table2[[#This Row],[Quantity]]*Table2[[#This Row],[Unit Price]]</f>
        <v>1425</v>
      </c>
      <c r="R322" s="10">
        <f>Table2[[#This Row],[Sales Revenue]]-Table2[[#This Row],[Total Cost After Product Percentage Calc]]</f>
        <v>427</v>
      </c>
    </row>
    <row r="323" spans="1:18" ht="14.25" customHeight="1" x14ac:dyDescent="0.3">
      <c r="A323" s="1">
        <v>322</v>
      </c>
      <c r="B323" s="1" t="s">
        <v>374</v>
      </c>
      <c r="C323" s="1" t="s">
        <v>22</v>
      </c>
      <c r="D323" s="1" t="s">
        <v>58</v>
      </c>
      <c r="E323" s="2">
        <v>45793</v>
      </c>
      <c r="F323" s="4">
        <v>45799</v>
      </c>
      <c r="G323" s="1">
        <v>10</v>
      </c>
      <c r="H323" s="1">
        <v>434</v>
      </c>
      <c r="I323" s="1" t="s">
        <v>14</v>
      </c>
      <c r="J323" s="1" t="s">
        <v>31</v>
      </c>
      <c r="K323" s="1" t="s">
        <v>16</v>
      </c>
      <c r="L323" t="str">
        <f>TEXT(Table2[[#This Row],[Order Date]],"YYY")</f>
        <v>2025</v>
      </c>
      <c r="M323" t="str">
        <f>TEXT(Table2[[#This Row],[Order Date]],"MMM")</f>
        <v>May</v>
      </c>
      <c r="N323" t="str">
        <f>TEXT(Table2[[#This Row],[Order Date]],"DDD")</f>
        <v>Fri</v>
      </c>
      <c r="O323">
        <f>DATEDIF(Table2[[#This Row],[Order Date]],Table2[[#This Row],[Delivered Date]],"D")</f>
        <v>6</v>
      </c>
      <c r="P323" s="10">
        <f>ROUND(Table2[[#This Row],[Quantity]]*Table2[[#This Row],[Unit Price]]*VLOOKUP(Table2[[#This Row],[Product Name]],Table_1[#All],2,FALSE),0)</f>
        <v>3038</v>
      </c>
      <c r="Q323" s="10">
        <f>Table2[[#This Row],[Quantity]]*Table2[[#This Row],[Unit Price]]</f>
        <v>4340</v>
      </c>
      <c r="R323" s="10">
        <f>Table2[[#This Row],[Sales Revenue]]-Table2[[#This Row],[Total Cost After Product Percentage Calc]]</f>
        <v>1302</v>
      </c>
    </row>
    <row r="324" spans="1:18" ht="14.25" customHeight="1" x14ac:dyDescent="0.3">
      <c r="A324" s="1">
        <v>323</v>
      </c>
      <c r="B324" s="1" t="s">
        <v>375</v>
      </c>
      <c r="C324" s="1" t="s">
        <v>22</v>
      </c>
      <c r="D324" s="1" t="s">
        <v>43</v>
      </c>
      <c r="E324" s="2">
        <v>45839</v>
      </c>
      <c r="F324" s="4">
        <v>45845</v>
      </c>
      <c r="G324" s="1">
        <v>7</v>
      </c>
      <c r="H324" s="1">
        <v>195</v>
      </c>
      <c r="I324" s="1" t="s">
        <v>14</v>
      </c>
      <c r="J324" s="1" t="s">
        <v>36</v>
      </c>
      <c r="K324" s="1" t="s">
        <v>49</v>
      </c>
      <c r="L324" t="str">
        <f>TEXT(Table2[[#This Row],[Order Date]],"YYY")</f>
        <v>2025</v>
      </c>
      <c r="M324" t="str">
        <f>TEXT(Table2[[#This Row],[Order Date]],"MMM")</f>
        <v>Jul</v>
      </c>
      <c r="N324" t="str">
        <f>TEXT(Table2[[#This Row],[Order Date]],"DDD")</f>
        <v>Tue</v>
      </c>
      <c r="O324">
        <f>DATEDIF(Table2[[#This Row],[Order Date]],Table2[[#This Row],[Delivered Date]],"D")</f>
        <v>6</v>
      </c>
      <c r="P324" s="10">
        <f>ROUND(Table2[[#This Row],[Quantity]]*Table2[[#This Row],[Unit Price]]*VLOOKUP(Table2[[#This Row],[Product Name]],Table_1[#All],2,FALSE),0)</f>
        <v>887</v>
      </c>
      <c r="Q324" s="10">
        <f>Table2[[#This Row],[Quantity]]*Table2[[#This Row],[Unit Price]]</f>
        <v>1365</v>
      </c>
      <c r="R324" s="10">
        <f>Table2[[#This Row],[Sales Revenue]]-Table2[[#This Row],[Total Cost After Product Percentage Calc]]</f>
        <v>478</v>
      </c>
    </row>
    <row r="325" spans="1:18" ht="14.25" customHeight="1" x14ac:dyDescent="0.3">
      <c r="A325" s="1">
        <v>324</v>
      </c>
      <c r="B325" s="1" t="s">
        <v>376</v>
      </c>
      <c r="C325" s="1" t="s">
        <v>34</v>
      </c>
      <c r="D325" s="1" t="s">
        <v>54</v>
      </c>
      <c r="E325" s="2">
        <v>45855</v>
      </c>
      <c r="F325" s="4">
        <v>45864</v>
      </c>
      <c r="G325" s="1">
        <v>4</v>
      </c>
      <c r="H325" s="1">
        <v>432</v>
      </c>
      <c r="I325" s="1" t="s">
        <v>14</v>
      </c>
      <c r="J325" s="1" t="s">
        <v>31</v>
      </c>
      <c r="K325" s="1" t="s">
        <v>16</v>
      </c>
      <c r="L325" t="str">
        <f>TEXT(Table2[[#This Row],[Order Date]],"YYY")</f>
        <v>2025</v>
      </c>
      <c r="M325" t="str">
        <f>TEXT(Table2[[#This Row],[Order Date]],"MMM")</f>
        <v>Jul</v>
      </c>
      <c r="N325" t="str">
        <f>TEXT(Table2[[#This Row],[Order Date]],"DDD")</f>
        <v>Thu</v>
      </c>
      <c r="O325">
        <f>DATEDIF(Table2[[#This Row],[Order Date]],Table2[[#This Row],[Delivered Date]],"D")</f>
        <v>9</v>
      </c>
      <c r="P325" s="10">
        <f>ROUND(Table2[[#This Row],[Quantity]]*Table2[[#This Row],[Unit Price]]*VLOOKUP(Table2[[#This Row],[Product Name]],Table_1[#All],2,FALSE),0)</f>
        <v>1210</v>
      </c>
      <c r="Q325" s="10">
        <f>Table2[[#This Row],[Quantity]]*Table2[[#This Row],[Unit Price]]</f>
        <v>1728</v>
      </c>
      <c r="R325" s="10">
        <f>Table2[[#This Row],[Sales Revenue]]-Table2[[#This Row],[Total Cost After Product Percentage Calc]]</f>
        <v>518</v>
      </c>
    </row>
    <row r="326" spans="1:18" ht="14.25" customHeight="1" x14ac:dyDescent="0.3">
      <c r="A326" s="1">
        <v>325</v>
      </c>
      <c r="B326" s="1" t="s">
        <v>377</v>
      </c>
      <c r="C326" s="1" t="s">
        <v>12</v>
      </c>
      <c r="D326" s="1" t="s">
        <v>13</v>
      </c>
      <c r="E326" s="2">
        <v>45865</v>
      </c>
      <c r="F326" s="4">
        <v>45871</v>
      </c>
      <c r="G326" s="1">
        <v>2</v>
      </c>
      <c r="H326" s="1">
        <v>708</v>
      </c>
      <c r="I326" s="1" t="s">
        <v>30</v>
      </c>
      <c r="J326" s="1" t="s">
        <v>36</v>
      </c>
      <c r="K326" s="1" t="s">
        <v>16</v>
      </c>
      <c r="L326" t="str">
        <f>TEXT(Table2[[#This Row],[Order Date]],"YYY")</f>
        <v>2025</v>
      </c>
      <c r="M326" t="str">
        <f>TEXT(Table2[[#This Row],[Order Date]],"MMM")</f>
        <v>Jul</v>
      </c>
      <c r="N326" t="str">
        <f>TEXT(Table2[[#This Row],[Order Date]],"DDD")</f>
        <v>Sun</v>
      </c>
      <c r="O326">
        <f>DATEDIF(Table2[[#This Row],[Order Date]],Table2[[#This Row],[Delivered Date]],"D")</f>
        <v>6</v>
      </c>
      <c r="P326" s="10">
        <f>ROUND(Table2[[#This Row],[Quantity]]*Table2[[#This Row],[Unit Price]]*VLOOKUP(Table2[[#This Row],[Product Name]],Table_1[#All],2,FALSE),0)</f>
        <v>1062</v>
      </c>
      <c r="Q326" s="10">
        <f>Table2[[#This Row],[Quantity]]*Table2[[#This Row],[Unit Price]]</f>
        <v>1416</v>
      </c>
      <c r="R326" s="10">
        <f>Table2[[#This Row],[Sales Revenue]]-Table2[[#This Row],[Total Cost After Product Percentage Calc]]</f>
        <v>354</v>
      </c>
    </row>
    <row r="327" spans="1:18" ht="14.25" customHeight="1" x14ac:dyDescent="0.3">
      <c r="A327" s="1">
        <v>326</v>
      </c>
      <c r="B327" s="1" t="s">
        <v>378</v>
      </c>
      <c r="C327" s="1" t="s">
        <v>18</v>
      </c>
      <c r="D327" s="1" t="s">
        <v>47</v>
      </c>
      <c r="E327" s="2">
        <v>46008</v>
      </c>
      <c r="F327" s="4">
        <v>46017</v>
      </c>
      <c r="G327" s="1">
        <v>3</v>
      </c>
      <c r="H327" s="1">
        <v>868</v>
      </c>
      <c r="I327" s="1" t="s">
        <v>14</v>
      </c>
      <c r="J327" s="1" t="s">
        <v>24</v>
      </c>
      <c r="K327" s="1" t="s">
        <v>20</v>
      </c>
      <c r="L327" t="str">
        <f>TEXT(Table2[[#This Row],[Order Date]],"YYY")</f>
        <v>2025</v>
      </c>
      <c r="M327" t="str">
        <f>TEXT(Table2[[#This Row],[Order Date]],"MMM")</f>
        <v>Dec</v>
      </c>
      <c r="N327" t="str">
        <f>TEXT(Table2[[#This Row],[Order Date]],"DDD")</f>
        <v>Wed</v>
      </c>
      <c r="O327">
        <f>DATEDIF(Table2[[#This Row],[Order Date]],Table2[[#This Row],[Delivered Date]],"D")</f>
        <v>9</v>
      </c>
      <c r="P327" s="10">
        <f>ROUND(Table2[[#This Row],[Quantity]]*Table2[[#This Row],[Unit Price]]*VLOOKUP(Table2[[#This Row],[Product Name]],Table_1[#All],2,FALSE),0)</f>
        <v>1562</v>
      </c>
      <c r="Q327" s="10">
        <f>Table2[[#This Row],[Quantity]]*Table2[[#This Row],[Unit Price]]</f>
        <v>2604</v>
      </c>
      <c r="R327" s="10">
        <f>Table2[[#This Row],[Sales Revenue]]-Table2[[#This Row],[Total Cost After Product Percentage Calc]]</f>
        <v>1042</v>
      </c>
    </row>
    <row r="328" spans="1:18" ht="14.25" customHeight="1" x14ac:dyDescent="0.3">
      <c r="A328" s="1">
        <v>327</v>
      </c>
      <c r="B328" s="1" t="s">
        <v>379</v>
      </c>
      <c r="C328" s="1" t="s">
        <v>22</v>
      </c>
      <c r="D328" s="1" t="s">
        <v>87</v>
      </c>
      <c r="E328" s="2">
        <v>46007</v>
      </c>
      <c r="F328" s="4">
        <v>46018</v>
      </c>
      <c r="G328" s="1">
        <v>1</v>
      </c>
      <c r="H328" s="1">
        <v>130</v>
      </c>
      <c r="I328" s="1" t="s">
        <v>30</v>
      </c>
      <c r="J328" s="1" t="s">
        <v>15</v>
      </c>
      <c r="K328" s="1" t="s">
        <v>16</v>
      </c>
      <c r="L328" t="str">
        <f>TEXT(Table2[[#This Row],[Order Date]],"YYY")</f>
        <v>2025</v>
      </c>
      <c r="M328" t="str">
        <f>TEXT(Table2[[#This Row],[Order Date]],"MMM")</f>
        <v>Dec</v>
      </c>
      <c r="N328" t="str">
        <f>TEXT(Table2[[#This Row],[Order Date]],"DDD")</f>
        <v>Tue</v>
      </c>
      <c r="O328">
        <f>DATEDIF(Table2[[#This Row],[Order Date]],Table2[[#This Row],[Delivered Date]],"D")</f>
        <v>11</v>
      </c>
      <c r="P328" s="10">
        <f>ROUND(Table2[[#This Row],[Quantity]]*Table2[[#This Row],[Unit Price]]*VLOOKUP(Table2[[#This Row],[Product Name]],Table_1[#All],2,FALSE),0)</f>
        <v>104</v>
      </c>
      <c r="Q328" s="10">
        <f>Table2[[#This Row],[Quantity]]*Table2[[#This Row],[Unit Price]]</f>
        <v>130</v>
      </c>
      <c r="R328" s="10">
        <f>Table2[[#This Row],[Sales Revenue]]-Table2[[#This Row],[Total Cost After Product Percentage Calc]]</f>
        <v>26</v>
      </c>
    </row>
    <row r="329" spans="1:18" ht="14.25" customHeight="1" x14ac:dyDescent="0.3">
      <c r="A329" s="1">
        <v>328</v>
      </c>
      <c r="B329" s="1" t="s">
        <v>380</v>
      </c>
      <c r="C329" s="1" t="s">
        <v>22</v>
      </c>
      <c r="D329" s="1" t="s">
        <v>43</v>
      </c>
      <c r="E329" s="2">
        <v>46004</v>
      </c>
      <c r="F329" s="4">
        <v>46019</v>
      </c>
      <c r="G329" s="1">
        <v>3</v>
      </c>
      <c r="H329" s="1">
        <v>744</v>
      </c>
      <c r="I329" s="1" t="s">
        <v>30</v>
      </c>
      <c r="J329" s="1" t="s">
        <v>52</v>
      </c>
      <c r="K329" s="1" t="s">
        <v>49</v>
      </c>
      <c r="L329" t="str">
        <f>TEXT(Table2[[#This Row],[Order Date]],"YYY")</f>
        <v>2025</v>
      </c>
      <c r="M329" t="str">
        <f>TEXT(Table2[[#This Row],[Order Date]],"MMM")</f>
        <v>Dec</v>
      </c>
      <c r="N329" t="str">
        <f>TEXT(Table2[[#This Row],[Order Date]],"DDD")</f>
        <v>Sat</v>
      </c>
      <c r="O329">
        <f>DATEDIF(Table2[[#This Row],[Order Date]],Table2[[#This Row],[Delivered Date]],"D")</f>
        <v>15</v>
      </c>
      <c r="P329" s="10">
        <f>ROUND(Table2[[#This Row],[Quantity]]*Table2[[#This Row],[Unit Price]]*VLOOKUP(Table2[[#This Row],[Product Name]],Table_1[#All],2,FALSE),0)</f>
        <v>1451</v>
      </c>
      <c r="Q329" s="10">
        <f>Table2[[#This Row],[Quantity]]*Table2[[#This Row],[Unit Price]]</f>
        <v>2232</v>
      </c>
      <c r="R329" s="10">
        <f>Table2[[#This Row],[Sales Revenue]]-Table2[[#This Row],[Total Cost After Product Percentage Calc]]</f>
        <v>781</v>
      </c>
    </row>
    <row r="330" spans="1:18" ht="14.25" customHeight="1" x14ac:dyDescent="0.3">
      <c r="A330" s="1">
        <v>329</v>
      </c>
      <c r="B330" s="1" t="s">
        <v>381</v>
      </c>
      <c r="C330" s="1" t="s">
        <v>18</v>
      </c>
      <c r="D330" s="1" t="s">
        <v>60</v>
      </c>
      <c r="E330" s="2">
        <v>45760</v>
      </c>
      <c r="F330" s="4">
        <v>45764</v>
      </c>
      <c r="G330" s="1">
        <v>1</v>
      </c>
      <c r="H330" s="1">
        <v>62</v>
      </c>
      <c r="I330" s="1" t="s">
        <v>30</v>
      </c>
      <c r="J330" s="1" t="s">
        <v>36</v>
      </c>
      <c r="K330" s="1" t="s">
        <v>16</v>
      </c>
      <c r="L330" t="str">
        <f>TEXT(Table2[[#This Row],[Order Date]],"YYY")</f>
        <v>2025</v>
      </c>
      <c r="M330" t="str">
        <f>TEXT(Table2[[#This Row],[Order Date]],"MMM")</f>
        <v>Apr</v>
      </c>
      <c r="N330" t="str">
        <f>TEXT(Table2[[#This Row],[Order Date]],"DDD")</f>
        <v>Sun</v>
      </c>
      <c r="O330">
        <f>DATEDIF(Table2[[#This Row],[Order Date]],Table2[[#This Row],[Delivered Date]],"D")</f>
        <v>4</v>
      </c>
      <c r="P330" s="10">
        <f>ROUND(Table2[[#This Row],[Quantity]]*Table2[[#This Row],[Unit Price]]*VLOOKUP(Table2[[#This Row],[Product Name]],Table_1[#All],2,FALSE),0)</f>
        <v>34</v>
      </c>
      <c r="Q330" s="10">
        <f>Table2[[#This Row],[Quantity]]*Table2[[#This Row],[Unit Price]]</f>
        <v>62</v>
      </c>
      <c r="R330" s="10">
        <f>Table2[[#This Row],[Sales Revenue]]-Table2[[#This Row],[Total Cost After Product Percentage Calc]]</f>
        <v>28</v>
      </c>
    </row>
    <row r="331" spans="1:18" ht="14.25" customHeight="1" x14ac:dyDescent="0.3">
      <c r="A331" s="1">
        <v>330</v>
      </c>
      <c r="B331" s="1" t="s">
        <v>382</v>
      </c>
      <c r="C331" s="1" t="s">
        <v>34</v>
      </c>
      <c r="D331" s="1" t="s">
        <v>45</v>
      </c>
      <c r="E331" s="2">
        <v>45887</v>
      </c>
      <c r="F331" s="4">
        <v>45896</v>
      </c>
      <c r="G331" s="1">
        <v>9</v>
      </c>
      <c r="H331" s="1">
        <v>385</v>
      </c>
      <c r="I331" s="1" t="s">
        <v>30</v>
      </c>
      <c r="J331" s="1" t="s">
        <v>36</v>
      </c>
      <c r="K331" s="1" t="s">
        <v>32</v>
      </c>
      <c r="L331" t="str">
        <f>TEXT(Table2[[#This Row],[Order Date]],"YYY")</f>
        <v>2025</v>
      </c>
      <c r="M331" t="str">
        <f>TEXT(Table2[[#This Row],[Order Date]],"MMM")</f>
        <v>Aug</v>
      </c>
      <c r="N331" t="str">
        <f>TEXT(Table2[[#This Row],[Order Date]],"DDD")</f>
        <v>Mon</v>
      </c>
      <c r="O331">
        <f>DATEDIF(Table2[[#This Row],[Order Date]],Table2[[#This Row],[Delivered Date]],"D")</f>
        <v>9</v>
      </c>
      <c r="P331" s="10">
        <f>ROUND(Table2[[#This Row],[Quantity]]*Table2[[#This Row],[Unit Price]]*VLOOKUP(Table2[[#This Row],[Product Name]],Table_1[#All],2,FALSE),0)</f>
        <v>2252</v>
      </c>
      <c r="Q331" s="10">
        <f>Table2[[#This Row],[Quantity]]*Table2[[#This Row],[Unit Price]]</f>
        <v>3465</v>
      </c>
      <c r="R331" s="10">
        <f>Table2[[#This Row],[Sales Revenue]]-Table2[[#This Row],[Total Cost After Product Percentage Calc]]</f>
        <v>1213</v>
      </c>
    </row>
    <row r="332" spans="1:18" ht="14.25" customHeight="1" x14ac:dyDescent="0.3">
      <c r="A332" s="1">
        <v>331</v>
      </c>
      <c r="B332" s="1" t="s">
        <v>383</v>
      </c>
      <c r="C332" s="1" t="s">
        <v>22</v>
      </c>
      <c r="D332" s="1" t="s">
        <v>43</v>
      </c>
      <c r="E332" s="2">
        <v>46003</v>
      </c>
      <c r="F332" s="4">
        <v>46004</v>
      </c>
      <c r="G332" s="1">
        <v>5</v>
      </c>
      <c r="H332" s="1">
        <v>465</v>
      </c>
      <c r="I332" s="1" t="s">
        <v>14</v>
      </c>
      <c r="J332" s="1" t="s">
        <v>36</v>
      </c>
      <c r="K332" s="1" t="s">
        <v>16</v>
      </c>
      <c r="L332" t="str">
        <f>TEXT(Table2[[#This Row],[Order Date]],"YYY")</f>
        <v>2025</v>
      </c>
      <c r="M332" t="str">
        <f>TEXT(Table2[[#This Row],[Order Date]],"MMM")</f>
        <v>Dec</v>
      </c>
      <c r="N332" t="str">
        <f>TEXT(Table2[[#This Row],[Order Date]],"DDD")</f>
        <v>Fri</v>
      </c>
      <c r="O332">
        <f>DATEDIF(Table2[[#This Row],[Order Date]],Table2[[#This Row],[Delivered Date]],"D")</f>
        <v>1</v>
      </c>
      <c r="P332" s="10">
        <f>ROUND(Table2[[#This Row],[Quantity]]*Table2[[#This Row],[Unit Price]]*VLOOKUP(Table2[[#This Row],[Product Name]],Table_1[#All],2,FALSE),0)</f>
        <v>1511</v>
      </c>
      <c r="Q332" s="10">
        <f>Table2[[#This Row],[Quantity]]*Table2[[#This Row],[Unit Price]]</f>
        <v>2325</v>
      </c>
      <c r="R332" s="10">
        <f>Table2[[#This Row],[Sales Revenue]]-Table2[[#This Row],[Total Cost After Product Percentage Calc]]</f>
        <v>814</v>
      </c>
    </row>
    <row r="333" spans="1:18" ht="14.25" customHeight="1" x14ac:dyDescent="0.3">
      <c r="A333" s="1">
        <v>332</v>
      </c>
      <c r="B333" s="1" t="s">
        <v>384</v>
      </c>
      <c r="C333" s="1" t="s">
        <v>12</v>
      </c>
      <c r="D333" s="1" t="s">
        <v>39</v>
      </c>
      <c r="E333" s="2">
        <v>45762</v>
      </c>
      <c r="F333" s="4">
        <v>45767</v>
      </c>
      <c r="G333" s="1">
        <v>2</v>
      </c>
      <c r="H333" s="1">
        <v>280</v>
      </c>
      <c r="I333" s="1" t="s">
        <v>14</v>
      </c>
      <c r="J333" s="1" t="s">
        <v>36</v>
      </c>
      <c r="K333" s="1" t="s">
        <v>20</v>
      </c>
      <c r="L333" t="str">
        <f>TEXT(Table2[[#This Row],[Order Date]],"YYY")</f>
        <v>2025</v>
      </c>
      <c r="M333" t="str">
        <f>TEXT(Table2[[#This Row],[Order Date]],"MMM")</f>
        <v>Apr</v>
      </c>
      <c r="N333" t="str">
        <f>TEXT(Table2[[#This Row],[Order Date]],"DDD")</f>
        <v>Tue</v>
      </c>
      <c r="O333">
        <f>DATEDIF(Table2[[#This Row],[Order Date]],Table2[[#This Row],[Delivered Date]],"D")</f>
        <v>5</v>
      </c>
      <c r="P333" s="10">
        <f>ROUND(Table2[[#This Row],[Quantity]]*Table2[[#This Row],[Unit Price]]*VLOOKUP(Table2[[#This Row],[Product Name]],Table_1[#All],2,FALSE),0)</f>
        <v>448</v>
      </c>
      <c r="Q333" s="10">
        <f>Table2[[#This Row],[Quantity]]*Table2[[#This Row],[Unit Price]]</f>
        <v>560</v>
      </c>
      <c r="R333" s="10">
        <f>Table2[[#This Row],[Sales Revenue]]-Table2[[#This Row],[Total Cost After Product Percentage Calc]]</f>
        <v>112</v>
      </c>
    </row>
    <row r="334" spans="1:18" ht="14.25" customHeight="1" x14ac:dyDescent="0.3">
      <c r="A334" s="1">
        <v>333</v>
      </c>
      <c r="B334" s="1" t="s">
        <v>385</v>
      </c>
      <c r="C334" s="1" t="s">
        <v>18</v>
      </c>
      <c r="D334" s="1" t="s">
        <v>68</v>
      </c>
      <c r="E334" s="2">
        <v>45722</v>
      </c>
      <c r="F334" s="4">
        <v>45732</v>
      </c>
      <c r="G334" s="1">
        <v>5</v>
      </c>
      <c r="H334" s="1">
        <v>536</v>
      </c>
      <c r="I334" s="1" t="s">
        <v>30</v>
      </c>
      <c r="J334" s="1" t="s">
        <v>52</v>
      </c>
      <c r="K334" s="1" t="s">
        <v>49</v>
      </c>
      <c r="L334" t="str">
        <f>TEXT(Table2[[#This Row],[Order Date]],"YYY")</f>
        <v>2025</v>
      </c>
      <c r="M334" t="str">
        <f>TEXT(Table2[[#This Row],[Order Date]],"MMM")</f>
        <v>Mar</v>
      </c>
      <c r="N334" t="str">
        <f>TEXT(Table2[[#This Row],[Order Date]],"DDD")</f>
        <v>Thu</v>
      </c>
      <c r="O334">
        <f>DATEDIF(Table2[[#This Row],[Order Date]],Table2[[#This Row],[Delivered Date]],"D")</f>
        <v>10</v>
      </c>
      <c r="P334" s="10">
        <f>ROUND(Table2[[#This Row],[Quantity]]*Table2[[#This Row],[Unit Price]]*VLOOKUP(Table2[[#This Row],[Product Name]],Table_1[#All],2,FALSE),0)</f>
        <v>1340</v>
      </c>
      <c r="Q334" s="10">
        <f>Table2[[#This Row],[Quantity]]*Table2[[#This Row],[Unit Price]]</f>
        <v>2680</v>
      </c>
      <c r="R334" s="10">
        <f>Table2[[#This Row],[Sales Revenue]]-Table2[[#This Row],[Total Cost After Product Percentage Calc]]</f>
        <v>1340</v>
      </c>
    </row>
    <row r="335" spans="1:18" ht="14.25" customHeight="1" x14ac:dyDescent="0.3">
      <c r="A335" s="1">
        <v>334</v>
      </c>
      <c r="B335" s="1" t="s">
        <v>386</v>
      </c>
      <c r="C335" s="1" t="s">
        <v>22</v>
      </c>
      <c r="D335" s="1" t="s">
        <v>87</v>
      </c>
      <c r="E335" s="2">
        <v>45945</v>
      </c>
      <c r="F335" s="4">
        <v>45949</v>
      </c>
      <c r="G335" s="1">
        <v>9</v>
      </c>
      <c r="H335" s="1">
        <v>754</v>
      </c>
      <c r="I335" s="1" t="s">
        <v>14</v>
      </c>
      <c r="J335" s="1" t="s">
        <v>31</v>
      </c>
      <c r="K335" s="1" t="s">
        <v>32</v>
      </c>
      <c r="L335" t="str">
        <f>TEXT(Table2[[#This Row],[Order Date]],"YYY")</f>
        <v>2025</v>
      </c>
      <c r="M335" t="str">
        <f>TEXT(Table2[[#This Row],[Order Date]],"MMM")</f>
        <v>Oct</v>
      </c>
      <c r="N335" t="str">
        <f>TEXT(Table2[[#This Row],[Order Date]],"DDD")</f>
        <v>Wed</v>
      </c>
      <c r="O335">
        <f>DATEDIF(Table2[[#This Row],[Order Date]],Table2[[#This Row],[Delivered Date]],"D")</f>
        <v>4</v>
      </c>
      <c r="P335" s="10">
        <f>ROUND(Table2[[#This Row],[Quantity]]*Table2[[#This Row],[Unit Price]]*VLOOKUP(Table2[[#This Row],[Product Name]],Table_1[#All],2,FALSE),0)</f>
        <v>5429</v>
      </c>
      <c r="Q335" s="10">
        <f>Table2[[#This Row],[Quantity]]*Table2[[#This Row],[Unit Price]]</f>
        <v>6786</v>
      </c>
      <c r="R335" s="10">
        <f>Table2[[#This Row],[Sales Revenue]]-Table2[[#This Row],[Total Cost After Product Percentage Calc]]</f>
        <v>1357</v>
      </c>
    </row>
    <row r="336" spans="1:18" ht="14.25" customHeight="1" x14ac:dyDescent="0.3">
      <c r="A336" s="1">
        <v>335</v>
      </c>
      <c r="B336" s="1" t="s">
        <v>387</v>
      </c>
      <c r="C336" s="1" t="s">
        <v>26</v>
      </c>
      <c r="D336" s="1" t="s">
        <v>41</v>
      </c>
      <c r="E336" s="2">
        <v>45878</v>
      </c>
      <c r="F336" s="4">
        <v>45883</v>
      </c>
      <c r="G336" s="1">
        <v>5</v>
      </c>
      <c r="H336" s="1">
        <v>292</v>
      </c>
      <c r="I336" s="1" t="s">
        <v>30</v>
      </c>
      <c r="J336" s="1" t="s">
        <v>36</v>
      </c>
      <c r="K336" s="1" t="s">
        <v>32</v>
      </c>
      <c r="L336" t="str">
        <f>TEXT(Table2[[#This Row],[Order Date]],"YYY")</f>
        <v>2025</v>
      </c>
      <c r="M336" t="str">
        <f>TEXT(Table2[[#This Row],[Order Date]],"MMM")</f>
        <v>Aug</v>
      </c>
      <c r="N336" t="str">
        <f>TEXT(Table2[[#This Row],[Order Date]],"DDD")</f>
        <v>Sat</v>
      </c>
      <c r="O336">
        <f>DATEDIF(Table2[[#This Row],[Order Date]],Table2[[#This Row],[Delivered Date]],"D")</f>
        <v>5</v>
      </c>
      <c r="P336" s="10">
        <f>ROUND(Table2[[#This Row],[Quantity]]*Table2[[#This Row],[Unit Price]]*VLOOKUP(Table2[[#This Row],[Product Name]],Table_1[#All],2,FALSE),0)</f>
        <v>730</v>
      </c>
      <c r="Q336" s="10">
        <f>Table2[[#This Row],[Quantity]]*Table2[[#This Row],[Unit Price]]</f>
        <v>1460</v>
      </c>
      <c r="R336" s="10">
        <f>Table2[[#This Row],[Sales Revenue]]-Table2[[#This Row],[Total Cost After Product Percentage Calc]]</f>
        <v>730</v>
      </c>
    </row>
    <row r="337" spans="1:18" ht="14.25" customHeight="1" x14ac:dyDescent="0.3">
      <c r="A337" s="1">
        <v>336</v>
      </c>
      <c r="B337" s="1" t="s">
        <v>388</v>
      </c>
      <c r="C337" s="1" t="s">
        <v>34</v>
      </c>
      <c r="D337" s="1" t="s">
        <v>80</v>
      </c>
      <c r="E337" s="2">
        <v>45881</v>
      </c>
      <c r="F337" s="4">
        <v>45890</v>
      </c>
      <c r="G337" s="1">
        <v>1</v>
      </c>
      <c r="H337" s="1">
        <v>521</v>
      </c>
      <c r="I337" s="1" t="s">
        <v>30</v>
      </c>
      <c r="J337" s="1" t="s">
        <v>52</v>
      </c>
      <c r="K337" s="1" t="s">
        <v>49</v>
      </c>
      <c r="L337" t="str">
        <f>TEXT(Table2[[#This Row],[Order Date]],"YYY")</f>
        <v>2025</v>
      </c>
      <c r="M337" t="str">
        <f>TEXT(Table2[[#This Row],[Order Date]],"MMM")</f>
        <v>Aug</v>
      </c>
      <c r="N337" t="str">
        <f>TEXT(Table2[[#This Row],[Order Date]],"DDD")</f>
        <v>Tue</v>
      </c>
      <c r="O337">
        <f>DATEDIF(Table2[[#This Row],[Order Date]],Table2[[#This Row],[Delivered Date]],"D")</f>
        <v>9</v>
      </c>
      <c r="P337" s="10">
        <f>ROUND(Table2[[#This Row],[Quantity]]*Table2[[#This Row],[Unit Price]]*VLOOKUP(Table2[[#This Row],[Product Name]],Table_1[#All],2,FALSE),0)</f>
        <v>391</v>
      </c>
      <c r="Q337" s="10">
        <f>Table2[[#This Row],[Quantity]]*Table2[[#This Row],[Unit Price]]</f>
        <v>521</v>
      </c>
      <c r="R337" s="10">
        <f>Table2[[#This Row],[Sales Revenue]]-Table2[[#This Row],[Total Cost After Product Percentage Calc]]</f>
        <v>130</v>
      </c>
    </row>
    <row r="338" spans="1:18" ht="14.25" customHeight="1" x14ac:dyDescent="0.3">
      <c r="A338" s="1">
        <v>337</v>
      </c>
      <c r="B338" s="1" t="s">
        <v>389</v>
      </c>
      <c r="C338" s="1" t="s">
        <v>18</v>
      </c>
      <c r="D338" s="1" t="s">
        <v>60</v>
      </c>
      <c r="E338" s="2">
        <v>46000</v>
      </c>
      <c r="F338" s="4">
        <v>46001</v>
      </c>
      <c r="G338" s="1">
        <v>5</v>
      </c>
      <c r="H338" s="1">
        <v>630</v>
      </c>
      <c r="I338" s="1" t="s">
        <v>14</v>
      </c>
      <c r="J338" s="1" t="s">
        <v>15</v>
      </c>
      <c r="K338" s="1" t="s">
        <v>49</v>
      </c>
      <c r="L338" t="str">
        <f>TEXT(Table2[[#This Row],[Order Date]],"YYY")</f>
        <v>2025</v>
      </c>
      <c r="M338" t="str">
        <f>TEXT(Table2[[#This Row],[Order Date]],"MMM")</f>
        <v>Dec</v>
      </c>
      <c r="N338" t="str">
        <f>TEXT(Table2[[#This Row],[Order Date]],"DDD")</f>
        <v>Tue</v>
      </c>
      <c r="O338">
        <f>DATEDIF(Table2[[#This Row],[Order Date]],Table2[[#This Row],[Delivered Date]],"D")</f>
        <v>1</v>
      </c>
      <c r="P338" s="10">
        <f>ROUND(Table2[[#This Row],[Quantity]]*Table2[[#This Row],[Unit Price]]*VLOOKUP(Table2[[#This Row],[Product Name]],Table_1[#All],2,FALSE),0)</f>
        <v>1733</v>
      </c>
      <c r="Q338" s="10">
        <f>Table2[[#This Row],[Quantity]]*Table2[[#This Row],[Unit Price]]</f>
        <v>3150</v>
      </c>
      <c r="R338" s="10">
        <f>Table2[[#This Row],[Sales Revenue]]-Table2[[#This Row],[Total Cost After Product Percentage Calc]]</f>
        <v>1417</v>
      </c>
    </row>
    <row r="339" spans="1:18" ht="14.25" customHeight="1" x14ac:dyDescent="0.3">
      <c r="A339" s="1">
        <v>338</v>
      </c>
      <c r="B339" s="1" t="s">
        <v>390</v>
      </c>
      <c r="C339" s="1" t="s">
        <v>18</v>
      </c>
      <c r="D339" s="1" t="s">
        <v>68</v>
      </c>
      <c r="E339" s="2">
        <v>45775</v>
      </c>
      <c r="F339" s="4">
        <v>45778</v>
      </c>
      <c r="G339" s="1">
        <v>10</v>
      </c>
      <c r="H339" s="1">
        <v>678</v>
      </c>
      <c r="I339" s="1" t="s">
        <v>14</v>
      </c>
      <c r="J339" s="1" t="s">
        <v>31</v>
      </c>
      <c r="K339" s="1" t="s">
        <v>49</v>
      </c>
      <c r="L339" t="str">
        <f>TEXT(Table2[[#This Row],[Order Date]],"YYY")</f>
        <v>2025</v>
      </c>
      <c r="M339" t="str">
        <f>TEXT(Table2[[#This Row],[Order Date]],"MMM")</f>
        <v>Apr</v>
      </c>
      <c r="N339" t="str">
        <f>TEXT(Table2[[#This Row],[Order Date]],"DDD")</f>
        <v>Mon</v>
      </c>
      <c r="O339">
        <f>DATEDIF(Table2[[#This Row],[Order Date]],Table2[[#This Row],[Delivered Date]],"D")</f>
        <v>3</v>
      </c>
      <c r="P339" s="10">
        <f>ROUND(Table2[[#This Row],[Quantity]]*Table2[[#This Row],[Unit Price]]*VLOOKUP(Table2[[#This Row],[Product Name]],Table_1[#All],2,FALSE),0)</f>
        <v>3390</v>
      </c>
      <c r="Q339" s="10">
        <f>Table2[[#This Row],[Quantity]]*Table2[[#This Row],[Unit Price]]</f>
        <v>6780</v>
      </c>
      <c r="R339" s="10">
        <f>Table2[[#This Row],[Sales Revenue]]-Table2[[#This Row],[Total Cost After Product Percentage Calc]]</f>
        <v>3390</v>
      </c>
    </row>
    <row r="340" spans="1:18" ht="14.25" customHeight="1" x14ac:dyDescent="0.3">
      <c r="A340" s="1">
        <v>339</v>
      </c>
      <c r="B340" s="1" t="s">
        <v>391</v>
      </c>
      <c r="C340" s="1" t="s">
        <v>18</v>
      </c>
      <c r="D340" s="1" t="s">
        <v>68</v>
      </c>
      <c r="E340" s="2">
        <v>45834</v>
      </c>
      <c r="F340" s="4">
        <v>45842</v>
      </c>
      <c r="G340" s="1">
        <v>7</v>
      </c>
      <c r="H340" s="1">
        <v>569</v>
      </c>
      <c r="I340" s="1" t="s">
        <v>14</v>
      </c>
      <c r="J340" s="1" t="s">
        <v>31</v>
      </c>
      <c r="K340" s="1" t="s">
        <v>49</v>
      </c>
      <c r="L340" t="str">
        <f>TEXT(Table2[[#This Row],[Order Date]],"YYY")</f>
        <v>2025</v>
      </c>
      <c r="M340" t="str">
        <f>TEXT(Table2[[#This Row],[Order Date]],"MMM")</f>
        <v>Jun</v>
      </c>
      <c r="N340" t="str">
        <f>TEXT(Table2[[#This Row],[Order Date]],"DDD")</f>
        <v>Thu</v>
      </c>
      <c r="O340">
        <f>DATEDIF(Table2[[#This Row],[Order Date]],Table2[[#This Row],[Delivered Date]],"D")</f>
        <v>8</v>
      </c>
      <c r="P340" s="10">
        <f>ROUND(Table2[[#This Row],[Quantity]]*Table2[[#This Row],[Unit Price]]*VLOOKUP(Table2[[#This Row],[Product Name]],Table_1[#All],2,FALSE),0)</f>
        <v>1992</v>
      </c>
      <c r="Q340" s="10">
        <f>Table2[[#This Row],[Quantity]]*Table2[[#This Row],[Unit Price]]</f>
        <v>3983</v>
      </c>
      <c r="R340" s="10">
        <f>Table2[[#This Row],[Sales Revenue]]-Table2[[#This Row],[Total Cost After Product Percentage Calc]]</f>
        <v>1991</v>
      </c>
    </row>
    <row r="341" spans="1:18" ht="14.25" customHeight="1" x14ac:dyDescent="0.3">
      <c r="A341" s="1">
        <v>340</v>
      </c>
      <c r="B341" s="1" t="s">
        <v>392</v>
      </c>
      <c r="C341" s="1" t="s">
        <v>26</v>
      </c>
      <c r="D341" s="1" t="s">
        <v>41</v>
      </c>
      <c r="E341" s="2">
        <v>45988</v>
      </c>
      <c r="F341" s="4">
        <v>45994</v>
      </c>
      <c r="G341" s="1">
        <v>9</v>
      </c>
      <c r="H341" s="1">
        <v>185</v>
      </c>
      <c r="I341" s="1" t="s">
        <v>30</v>
      </c>
      <c r="J341" s="1" t="s">
        <v>15</v>
      </c>
      <c r="K341" s="1" t="s">
        <v>16</v>
      </c>
      <c r="L341" t="str">
        <f>TEXT(Table2[[#This Row],[Order Date]],"YYY")</f>
        <v>2025</v>
      </c>
      <c r="M341" t="str">
        <f>TEXT(Table2[[#This Row],[Order Date]],"MMM")</f>
        <v>Nov</v>
      </c>
      <c r="N341" t="str">
        <f>TEXT(Table2[[#This Row],[Order Date]],"DDD")</f>
        <v>Thu</v>
      </c>
      <c r="O341">
        <f>DATEDIF(Table2[[#This Row],[Order Date]],Table2[[#This Row],[Delivered Date]],"D")</f>
        <v>6</v>
      </c>
      <c r="P341" s="10">
        <f>ROUND(Table2[[#This Row],[Quantity]]*Table2[[#This Row],[Unit Price]]*VLOOKUP(Table2[[#This Row],[Product Name]],Table_1[#All],2,FALSE),0)</f>
        <v>833</v>
      </c>
      <c r="Q341" s="10">
        <f>Table2[[#This Row],[Quantity]]*Table2[[#This Row],[Unit Price]]</f>
        <v>1665</v>
      </c>
      <c r="R341" s="10">
        <f>Table2[[#This Row],[Sales Revenue]]-Table2[[#This Row],[Total Cost After Product Percentage Calc]]</f>
        <v>832</v>
      </c>
    </row>
    <row r="342" spans="1:18" ht="14.25" customHeight="1" x14ac:dyDescent="0.3">
      <c r="A342" s="1">
        <v>341</v>
      </c>
      <c r="B342" s="1" t="s">
        <v>393</v>
      </c>
      <c r="C342" s="1" t="s">
        <v>22</v>
      </c>
      <c r="D342" s="1" t="s">
        <v>87</v>
      </c>
      <c r="E342" s="2">
        <v>45710</v>
      </c>
      <c r="F342" s="4">
        <v>45712</v>
      </c>
      <c r="G342" s="1">
        <v>8</v>
      </c>
      <c r="H342" s="1">
        <v>405</v>
      </c>
      <c r="I342" s="1" t="s">
        <v>14</v>
      </c>
      <c r="J342" s="1" t="s">
        <v>52</v>
      </c>
      <c r="K342" s="1" t="s">
        <v>20</v>
      </c>
      <c r="L342" t="str">
        <f>TEXT(Table2[[#This Row],[Order Date]],"YYY")</f>
        <v>2025</v>
      </c>
      <c r="M342" t="str">
        <f>TEXT(Table2[[#This Row],[Order Date]],"MMM")</f>
        <v>Feb</v>
      </c>
      <c r="N342" t="str">
        <f>TEXT(Table2[[#This Row],[Order Date]],"DDD")</f>
        <v>Sat</v>
      </c>
      <c r="O342">
        <f>DATEDIF(Table2[[#This Row],[Order Date]],Table2[[#This Row],[Delivered Date]],"D")</f>
        <v>2</v>
      </c>
      <c r="P342" s="10">
        <f>ROUND(Table2[[#This Row],[Quantity]]*Table2[[#This Row],[Unit Price]]*VLOOKUP(Table2[[#This Row],[Product Name]],Table_1[#All],2,FALSE),0)</f>
        <v>2592</v>
      </c>
      <c r="Q342" s="10">
        <f>Table2[[#This Row],[Quantity]]*Table2[[#This Row],[Unit Price]]</f>
        <v>3240</v>
      </c>
      <c r="R342" s="10">
        <f>Table2[[#This Row],[Sales Revenue]]-Table2[[#This Row],[Total Cost After Product Percentage Calc]]</f>
        <v>648</v>
      </c>
    </row>
    <row r="343" spans="1:18" ht="14.25" customHeight="1" x14ac:dyDescent="0.3">
      <c r="A343" s="1">
        <v>342</v>
      </c>
      <c r="B343" s="1" t="s">
        <v>394</v>
      </c>
      <c r="C343" s="1" t="s">
        <v>26</v>
      </c>
      <c r="D343" s="1" t="s">
        <v>41</v>
      </c>
      <c r="E343" s="2">
        <v>45757</v>
      </c>
      <c r="F343" s="4">
        <v>45765</v>
      </c>
      <c r="G343" s="1">
        <v>10</v>
      </c>
      <c r="H343" s="1">
        <v>923</v>
      </c>
      <c r="I343" s="1" t="s">
        <v>14</v>
      </c>
      <c r="J343" s="1" t="s">
        <v>24</v>
      </c>
      <c r="K343" s="1" t="s">
        <v>32</v>
      </c>
      <c r="L343" t="str">
        <f>TEXT(Table2[[#This Row],[Order Date]],"YYY")</f>
        <v>2025</v>
      </c>
      <c r="M343" t="str">
        <f>TEXT(Table2[[#This Row],[Order Date]],"MMM")</f>
        <v>Apr</v>
      </c>
      <c r="N343" t="str">
        <f>TEXT(Table2[[#This Row],[Order Date]],"DDD")</f>
        <v>Thu</v>
      </c>
      <c r="O343">
        <f>DATEDIF(Table2[[#This Row],[Order Date]],Table2[[#This Row],[Delivered Date]],"D")</f>
        <v>8</v>
      </c>
      <c r="P343" s="10">
        <f>ROUND(Table2[[#This Row],[Quantity]]*Table2[[#This Row],[Unit Price]]*VLOOKUP(Table2[[#This Row],[Product Name]],Table_1[#All],2,FALSE),0)</f>
        <v>4615</v>
      </c>
      <c r="Q343" s="10">
        <f>Table2[[#This Row],[Quantity]]*Table2[[#This Row],[Unit Price]]</f>
        <v>9230</v>
      </c>
      <c r="R343" s="10">
        <f>Table2[[#This Row],[Sales Revenue]]-Table2[[#This Row],[Total Cost After Product Percentage Calc]]</f>
        <v>4615</v>
      </c>
    </row>
    <row r="344" spans="1:18" ht="14.25" customHeight="1" x14ac:dyDescent="0.3">
      <c r="A344" s="1">
        <v>343</v>
      </c>
      <c r="B344" s="1" t="s">
        <v>395</v>
      </c>
      <c r="C344" s="1" t="s">
        <v>26</v>
      </c>
      <c r="D344" s="1" t="s">
        <v>27</v>
      </c>
      <c r="E344" s="2">
        <v>45811</v>
      </c>
      <c r="F344" s="4">
        <v>45815</v>
      </c>
      <c r="G344" s="1">
        <v>10</v>
      </c>
      <c r="H344" s="1">
        <v>325</v>
      </c>
      <c r="I344" s="1" t="s">
        <v>30</v>
      </c>
      <c r="J344" s="1" t="s">
        <v>36</v>
      </c>
      <c r="K344" s="1" t="s">
        <v>49</v>
      </c>
      <c r="L344" t="str">
        <f>TEXT(Table2[[#This Row],[Order Date]],"YYY")</f>
        <v>2025</v>
      </c>
      <c r="M344" t="str">
        <f>TEXT(Table2[[#This Row],[Order Date]],"MMM")</f>
        <v>Jun</v>
      </c>
      <c r="N344" t="str">
        <f>TEXT(Table2[[#This Row],[Order Date]],"DDD")</f>
        <v>Tue</v>
      </c>
      <c r="O344">
        <f>DATEDIF(Table2[[#This Row],[Order Date]],Table2[[#This Row],[Delivered Date]],"D")</f>
        <v>4</v>
      </c>
      <c r="P344" s="10">
        <f>ROUND(Table2[[#This Row],[Quantity]]*Table2[[#This Row],[Unit Price]]*VLOOKUP(Table2[[#This Row],[Product Name]],Table_1[#All],2,FALSE),0)</f>
        <v>1788</v>
      </c>
      <c r="Q344" s="10">
        <f>Table2[[#This Row],[Quantity]]*Table2[[#This Row],[Unit Price]]</f>
        <v>3250</v>
      </c>
      <c r="R344" s="10">
        <f>Table2[[#This Row],[Sales Revenue]]-Table2[[#This Row],[Total Cost After Product Percentage Calc]]</f>
        <v>1462</v>
      </c>
    </row>
    <row r="345" spans="1:18" ht="14.25" customHeight="1" x14ac:dyDescent="0.3">
      <c r="A345" s="1">
        <v>344</v>
      </c>
      <c r="B345" s="1" t="s">
        <v>396</v>
      </c>
      <c r="C345" s="1" t="s">
        <v>26</v>
      </c>
      <c r="D345" s="1" t="s">
        <v>74</v>
      </c>
      <c r="E345" s="2">
        <v>45936</v>
      </c>
      <c r="F345" s="4">
        <v>45941</v>
      </c>
      <c r="G345" s="1">
        <v>6</v>
      </c>
      <c r="H345" s="1">
        <v>564</v>
      </c>
      <c r="I345" s="1" t="s">
        <v>14</v>
      </c>
      <c r="J345" s="1" t="s">
        <v>15</v>
      </c>
      <c r="K345" s="1" t="s">
        <v>20</v>
      </c>
      <c r="L345" t="str">
        <f>TEXT(Table2[[#This Row],[Order Date]],"YYY")</f>
        <v>2025</v>
      </c>
      <c r="M345" t="str">
        <f>TEXT(Table2[[#This Row],[Order Date]],"MMM")</f>
        <v>Oct</v>
      </c>
      <c r="N345" t="str">
        <f>TEXT(Table2[[#This Row],[Order Date]],"DDD")</f>
        <v>Mon</v>
      </c>
      <c r="O345">
        <f>DATEDIF(Table2[[#This Row],[Order Date]],Table2[[#This Row],[Delivered Date]],"D")</f>
        <v>5</v>
      </c>
      <c r="P345" s="10">
        <f>ROUND(Table2[[#This Row],[Quantity]]*Table2[[#This Row],[Unit Price]]*VLOOKUP(Table2[[#This Row],[Product Name]],Table_1[#All],2,FALSE),0)</f>
        <v>1861</v>
      </c>
      <c r="Q345" s="10">
        <f>Table2[[#This Row],[Quantity]]*Table2[[#This Row],[Unit Price]]</f>
        <v>3384</v>
      </c>
      <c r="R345" s="10">
        <f>Table2[[#This Row],[Sales Revenue]]-Table2[[#This Row],[Total Cost After Product Percentage Calc]]</f>
        <v>1523</v>
      </c>
    </row>
    <row r="346" spans="1:18" ht="14.25" customHeight="1" x14ac:dyDescent="0.3">
      <c r="A346" s="1">
        <v>345</v>
      </c>
      <c r="B346" s="1" t="s">
        <v>397</v>
      </c>
      <c r="C346" s="1" t="s">
        <v>22</v>
      </c>
      <c r="D346" s="1" t="s">
        <v>58</v>
      </c>
      <c r="E346" s="2">
        <v>45829</v>
      </c>
      <c r="F346" s="4">
        <v>45836</v>
      </c>
      <c r="G346" s="1">
        <v>2</v>
      </c>
      <c r="H346" s="1">
        <v>236</v>
      </c>
      <c r="I346" s="1" t="s">
        <v>30</v>
      </c>
      <c r="J346" s="1" t="s">
        <v>15</v>
      </c>
      <c r="K346" s="1" t="s">
        <v>16</v>
      </c>
      <c r="L346" t="str">
        <f>TEXT(Table2[[#This Row],[Order Date]],"YYY")</f>
        <v>2025</v>
      </c>
      <c r="M346" t="str">
        <f>TEXT(Table2[[#This Row],[Order Date]],"MMM")</f>
        <v>Jun</v>
      </c>
      <c r="N346" t="str">
        <f>TEXT(Table2[[#This Row],[Order Date]],"DDD")</f>
        <v>Sat</v>
      </c>
      <c r="O346">
        <f>DATEDIF(Table2[[#This Row],[Order Date]],Table2[[#This Row],[Delivered Date]],"D")</f>
        <v>7</v>
      </c>
      <c r="P346" s="10">
        <f>ROUND(Table2[[#This Row],[Quantity]]*Table2[[#This Row],[Unit Price]]*VLOOKUP(Table2[[#This Row],[Product Name]],Table_1[#All],2,FALSE),0)</f>
        <v>330</v>
      </c>
      <c r="Q346" s="10">
        <f>Table2[[#This Row],[Quantity]]*Table2[[#This Row],[Unit Price]]</f>
        <v>472</v>
      </c>
      <c r="R346" s="10">
        <f>Table2[[#This Row],[Sales Revenue]]-Table2[[#This Row],[Total Cost After Product Percentage Calc]]</f>
        <v>142</v>
      </c>
    </row>
    <row r="347" spans="1:18" ht="14.25" customHeight="1" x14ac:dyDescent="0.3">
      <c r="A347" s="1">
        <v>346</v>
      </c>
      <c r="B347" s="1" t="s">
        <v>398</v>
      </c>
      <c r="C347" s="1" t="s">
        <v>22</v>
      </c>
      <c r="D347" s="1" t="s">
        <v>43</v>
      </c>
      <c r="E347" s="2">
        <v>45964</v>
      </c>
      <c r="F347" s="4">
        <v>45971</v>
      </c>
      <c r="G347" s="1">
        <v>1</v>
      </c>
      <c r="H347" s="1">
        <v>741</v>
      </c>
      <c r="I347" s="1" t="s">
        <v>14</v>
      </c>
      <c r="J347" s="1" t="s">
        <v>24</v>
      </c>
      <c r="K347" s="1" t="s">
        <v>32</v>
      </c>
      <c r="L347" t="str">
        <f>TEXT(Table2[[#This Row],[Order Date]],"YYY")</f>
        <v>2025</v>
      </c>
      <c r="M347" t="str">
        <f>TEXT(Table2[[#This Row],[Order Date]],"MMM")</f>
        <v>Nov</v>
      </c>
      <c r="N347" t="str">
        <f>TEXT(Table2[[#This Row],[Order Date]],"DDD")</f>
        <v>Mon</v>
      </c>
      <c r="O347">
        <f>DATEDIF(Table2[[#This Row],[Order Date]],Table2[[#This Row],[Delivered Date]],"D")</f>
        <v>7</v>
      </c>
      <c r="P347" s="10">
        <f>ROUND(Table2[[#This Row],[Quantity]]*Table2[[#This Row],[Unit Price]]*VLOOKUP(Table2[[#This Row],[Product Name]],Table_1[#All],2,FALSE),0)</f>
        <v>482</v>
      </c>
      <c r="Q347" s="10">
        <f>Table2[[#This Row],[Quantity]]*Table2[[#This Row],[Unit Price]]</f>
        <v>741</v>
      </c>
      <c r="R347" s="10">
        <f>Table2[[#This Row],[Sales Revenue]]-Table2[[#This Row],[Total Cost After Product Percentage Calc]]</f>
        <v>259</v>
      </c>
    </row>
    <row r="348" spans="1:18" ht="14.25" customHeight="1" x14ac:dyDescent="0.3">
      <c r="A348" s="1">
        <v>347</v>
      </c>
      <c r="B348" s="1" t="s">
        <v>399</v>
      </c>
      <c r="C348" s="1" t="s">
        <v>12</v>
      </c>
      <c r="D348" s="1" t="s">
        <v>29</v>
      </c>
      <c r="E348" s="2">
        <v>45911</v>
      </c>
      <c r="F348" s="4">
        <v>45917</v>
      </c>
      <c r="G348" s="1">
        <v>6</v>
      </c>
      <c r="H348" s="1">
        <v>992</v>
      </c>
      <c r="I348" s="1" t="s">
        <v>30</v>
      </c>
      <c r="J348" s="1" t="s">
        <v>24</v>
      </c>
      <c r="K348" s="1" t="s">
        <v>16</v>
      </c>
      <c r="L348" t="str">
        <f>TEXT(Table2[[#This Row],[Order Date]],"YYY")</f>
        <v>2025</v>
      </c>
      <c r="M348" t="str">
        <f>TEXT(Table2[[#This Row],[Order Date]],"MMM")</f>
        <v>Sep</v>
      </c>
      <c r="N348" t="str">
        <f>TEXT(Table2[[#This Row],[Order Date]],"DDD")</f>
        <v>Thu</v>
      </c>
      <c r="O348">
        <f>DATEDIF(Table2[[#This Row],[Order Date]],Table2[[#This Row],[Delivered Date]],"D")</f>
        <v>6</v>
      </c>
      <c r="P348" s="10">
        <f>ROUND(Table2[[#This Row],[Quantity]]*Table2[[#This Row],[Unit Price]]*VLOOKUP(Table2[[#This Row],[Product Name]],Table_1[#All],2,FALSE),0)</f>
        <v>3869</v>
      </c>
      <c r="Q348" s="10">
        <f>Table2[[#This Row],[Quantity]]*Table2[[#This Row],[Unit Price]]</f>
        <v>5952</v>
      </c>
      <c r="R348" s="10">
        <f>Table2[[#This Row],[Sales Revenue]]-Table2[[#This Row],[Total Cost After Product Percentage Calc]]</f>
        <v>2083</v>
      </c>
    </row>
    <row r="349" spans="1:18" ht="14.25" customHeight="1" x14ac:dyDescent="0.3">
      <c r="A349" s="1">
        <v>348</v>
      </c>
      <c r="B349" s="1" t="s">
        <v>400</v>
      </c>
      <c r="C349" s="1" t="s">
        <v>26</v>
      </c>
      <c r="D349" s="1" t="s">
        <v>27</v>
      </c>
      <c r="E349" s="2">
        <v>45920</v>
      </c>
      <c r="F349" s="4">
        <v>45921</v>
      </c>
      <c r="G349" s="1">
        <v>5</v>
      </c>
      <c r="H349" s="1">
        <v>55</v>
      </c>
      <c r="I349" s="1" t="s">
        <v>14</v>
      </c>
      <c r="J349" s="1" t="s">
        <v>15</v>
      </c>
      <c r="K349" s="1" t="s">
        <v>49</v>
      </c>
      <c r="L349" t="str">
        <f>TEXT(Table2[[#This Row],[Order Date]],"YYY")</f>
        <v>2025</v>
      </c>
      <c r="M349" t="str">
        <f>TEXT(Table2[[#This Row],[Order Date]],"MMM")</f>
        <v>Sep</v>
      </c>
      <c r="N349" t="str">
        <f>TEXT(Table2[[#This Row],[Order Date]],"DDD")</f>
        <v>Sat</v>
      </c>
      <c r="O349">
        <f>DATEDIF(Table2[[#This Row],[Order Date]],Table2[[#This Row],[Delivered Date]],"D")</f>
        <v>1</v>
      </c>
      <c r="P349" s="10">
        <f>ROUND(Table2[[#This Row],[Quantity]]*Table2[[#This Row],[Unit Price]]*VLOOKUP(Table2[[#This Row],[Product Name]],Table_1[#All],2,FALSE),0)</f>
        <v>151</v>
      </c>
      <c r="Q349" s="10">
        <f>Table2[[#This Row],[Quantity]]*Table2[[#This Row],[Unit Price]]</f>
        <v>275</v>
      </c>
      <c r="R349" s="10">
        <f>Table2[[#This Row],[Sales Revenue]]-Table2[[#This Row],[Total Cost After Product Percentage Calc]]</f>
        <v>124</v>
      </c>
    </row>
    <row r="350" spans="1:18" ht="14.25" customHeight="1" x14ac:dyDescent="0.3">
      <c r="A350" s="1">
        <v>349</v>
      </c>
      <c r="B350" s="1" t="s">
        <v>401</v>
      </c>
      <c r="C350" s="1" t="s">
        <v>18</v>
      </c>
      <c r="D350" s="1" t="s">
        <v>60</v>
      </c>
      <c r="E350" s="2">
        <v>45742</v>
      </c>
      <c r="F350" s="4">
        <v>45751</v>
      </c>
      <c r="G350" s="1">
        <v>7</v>
      </c>
      <c r="H350" s="1">
        <v>216</v>
      </c>
      <c r="I350" s="1" t="s">
        <v>30</v>
      </c>
      <c r="J350" s="1" t="s">
        <v>31</v>
      </c>
      <c r="K350" s="1" t="s">
        <v>20</v>
      </c>
      <c r="L350" t="str">
        <f>TEXT(Table2[[#This Row],[Order Date]],"YYY")</f>
        <v>2025</v>
      </c>
      <c r="M350" t="str">
        <f>TEXT(Table2[[#This Row],[Order Date]],"MMM")</f>
        <v>Mar</v>
      </c>
      <c r="N350" t="str">
        <f>TEXT(Table2[[#This Row],[Order Date]],"DDD")</f>
        <v>Wed</v>
      </c>
      <c r="O350">
        <f>DATEDIF(Table2[[#This Row],[Order Date]],Table2[[#This Row],[Delivered Date]],"D")</f>
        <v>9</v>
      </c>
      <c r="P350" s="10">
        <f>ROUND(Table2[[#This Row],[Quantity]]*Table2[[#This Row],[Unit Price]]*VLOOKUP(Table2[[#This Row],[Product Name]],Table_1[#All],2,FALSE),0)</f>
        <v>832</v>
      </c>
      <c r="Q350" s="10">
        <f>Table2[[#This Row],[Quantity]]*Table2[[#This Row],[Unit Price]]</f>
        <v>1512</v>
      </c>
      <c r="R350" s="10">
        <f>Table2[[#This Row],[Sales Revenue]]-Table2[[#This Row],[Total Cost After Product Percentage Calc]]</f>
        <v>680</v>
      </c>
    </row>
    <row r="351" spans="1:18" ht="14.25" customHeight="1" x14ac:dyDescent="0.3">
      <c r="A351" s="1">
        <v>350</v>
      </c>
      <c r="B351" s="1" t="s">
        <v>402</v>
      </c>
      <c r="C351" s="1" t="s">
        <v>22</v>
      </c>
      <c r="D351" s="1" t="s">
        <v>87</v>
      </c>
      <c r="E351" s="2">
        <v>46011</v>
      </c>
      <c r="F351" s="4">
        <v>46013</v>
      </c>
      <c r="G351" s="1">
        <v>3</v>
      </c>
      <c r="H351" s="1">
        <v>375</v>
      </c>
      <c r="I351" s="1" t="s">
        <v>30</v>
      </c>
      <c r="J351" s="1" t="s">
        <v>52</v>
      </c>
      <c r="K351" s="1" t="s">
        <v>32</v>
      </c>
      <c r="L351" t="str">
        <f>TEXT(Table2[[#This Row],[Order Date]],"YYY")</f>
        <v>2025</v>
      </c>
      <c r="M351" t="str">
        <f>TEXT(Table2[[#This Row],[Order Date]],"MMM")</f>
        <v>Dec</v>
      </c>
      <c r="N351" t="str">
        <f>TEXT(Table2[[#This Row],[Order Date]],"DDD")</f>
        <v>Sat</v>
      </c>
      <c r="O351">
        <f>DATEDIF(Table2[[#This Row],[Order Date]],Table2[[#This Row],[Delivered Date]],"D")</f>
        <v>2</v>
      </c>
      <c r="P351" s="10">
        <f>ROUND(Table2[[#This Row],[Quantity]]*Table2[[#This Row],[Unit Price]]*VLOOKUP(Table2[[#This Row],[Product Name]],Table_1[#All],2,FALSE),0)</f>
        <v>900</v>
      </c>
      <c r="Q351" s="10">
        <f>Table2[[#This Row],[Quantity]]*Table2[[#This Row],[Unit Price]]</f>
        <v>1125</v>
      </c>
      <c r="R351" s="10">
        <f>Table2[[#This Row],[Sales Revenue]]-Table2[[#This Row],[Total Cost After Product Percentage Calc]]</f>
        <v>225</v>
      </c>
    </row>
    <row r="352" spans="1:18" ht="14.25" customHeight="1" x14ac:dyDescent="0.3">
      <c r="A352" s="1">
        <v>351</v>
      </c>
      <c r="B352" s="1" t="s">
        <v>403</v>
      </c>
      <c r="C352" s="1" t="s">
        <v>22</v>
      </c>
      <c r="D352" s="1" t="s">
        <v>43</v>
      </c>
      <c r="E352" s="2">
        <v>45702</v>
      </c>
      <c r="F352" s="4">
        <v>45712</v>
      </c>
      <c r="G352" s="1">
        <v>10</v>
      </c>
      <c r="H352" s="1">
        <v>503</v>
      </c>
      <c r="I352" s="1" t="s">
        <v>30</v>
      </c>
      <c r="J352" s="1" t="s">
        <v>31</v>
      </c>
      <c r="K352" s="1" t="s">
        <v>49</v>
      </c>
      <c r="L352" t="str">
        <f>TEXT(Table2[[#This Row],[Order Date]],"YYY")</f>
        <v>2025</v>
      </c>
      <c r="M352" t="str">
        <f>TEXT(Table2[[#This Row],[Order Date]],"MMM")</f>
        <v>Feb</v>
      </c>
      <c r="N352" t="str">
        <f>TEXT(Table2[[#This Row],[Order Date]],"DDD")</f>
        <v>Fri</v>
      </c>
      <c r="O352">
        <f>DATEDIF(Table2[[#This Row],[Order Date]],Table2[[#This Row],[Delivered Date]],"D")</f>
        <v>10</v>
      </c>
      <c r="P352" s="10">
        <f>ROUND(Table2[[#This Row],[Quantity]]*Table2[[#This Row],[Unit Price]]*VLOOKUP(Table2[[#This Row],[Product Name]],Table_1[#All],2,FALSE),0)</f>
        <v>3270</v>
      </c>
      <c r="Q352" s="10">
        <f>Table2[[#This Row],[Quantity]]*Table2[[#This Row],[Unit Price]]</f>
        <v>5030</v>
      </c>
      <c r="R352" s="10">
        <f>Table2[[#This Row],[Sales Revenue]]-Table2[[#This Row],[Total Cost After Product Percentage Calc]]</f>
        <v>1760</v>
      </c>
    </row>
    <row r="353" spans="1:18" ht="14.25" customHeight="1" x14ac:dyDescent="0.3">
      <c r="A353" s="1">
        <v>352</v>
      </c>
      <c r="B353" s="1" t="s">
        <v>404</v>
      </c>
      <c r="C353" s="1" t="s">
        <v>26</v>
      </c>
      <c r="D353" s="1" t="s">
        <v>74</v>
      </c>
      <c r="E353" s="2">
        <v>45810</v>
      </c>
      <c r="F353" s="4">
        <v>45817</v>
      </c>
      <c r="G353" s="1">
        <v>6</v>
      </c>
      <c r="H353" s="1">
        <v>974</v>
      </c>
      <c r="I353" s="1" t="s">
        <v>14</v>
      </c>
      <c r="J353" s="1" t="s">
        <v>24</v>
      </c>
      <c r="K353" s="1" t="s">
        <v>20</v>
      </c>
      <c r="L353" t="str">
        <f>TEXT(Table2[[#This Row],[Order Date]],"YYY")</f>
        <v>2025</v>
      </c>
      <c r="M353" t="str">
        <f>TEXT(Table2[[#This Row],[Order Date]],"MMM")</f>
        <v>Jun</v>
      </c>
      <c r="N353" t="str">
        <f>TEXT(Table2[[#This Row],[Order Date]],"DDD")</f>
        <v>Mon</v>
      </c>
      <c r="O353">
        <f>DATEDIF(Table2[[#This Row],[Order Date]],Table2[[#This Row],[Delivered Date]],"D")</f>
        <v>7</v>
      </c>
      <c r="P353" s="10">
        <f>ROUND(Table2[[#This Row],[Quantity]]*Table2[[#This Row],[Unit Price]]*VLOOKUP(Table2[[#This Row],[Product Name]],Table_1[#All],2,FALSE),0)</f>
        <v>3214</v>
      </c>
      <c r="Q353" s="10">
        <f>Table2[[#This Row],[Quantity]]*Table2[[#This Row],[Unit Price]]</f>
        <v>5844</v>
      </c>
      <c r="R353" s="10">
        <f>Table2[[#This Row],[Sales Revenue]]-Table2[[#This Row],[Total Cost After Product Percentage Calc]]</f>
        <v>2630</v>
      </c>
    </row>
    <row r="354" spans="1:18" ht="14.25" customHeight="1" x14ac:dyDescent="0.3">
      <c r="A354" s="1">
        <v>353</v>
      </c>
      <c r="B354" s="1" t="s">
        <v>405</v>
      </c>
      <c r="C354" s="1" t="s">
        <v>26</v>
      </c>
      <c r="D354" s="1" t="s">
        <v>27</v>
      </c>
      <c r="E354" s="2">
        <v>45863</v>
      </c>
      <c r="F354" s="4">
        <v>45870</v>
      </c>
      <c r="G354" s="1">
        <v>3</v>
      </c>
      <c r="H354" s="1">
        <v>486</v>
      </c>
      <c r="I354" s="1" t="s">
        <v>14</v>
      </c>
      <c r="J354" s="1" t="s">
        <v>24</v>
      </c>
      <c r="K354" s="1" t="s">
        <v>49</v>
      </c>
      <c r="L354" t="str">
        <f>TEXT(Table2[[#This Row],[Order Date]],"YYY")</f>
        <v>2025</v>
      </c>
      <c r="M354" t="str">
        <f>TEXT(Table2[[#This Row],[Order Date]],"MMM")</f>
        <v>Jul</v>
      </c>
      <c r="N354" t="str">
        <f>TEXT(Table2[[#This Row],[Order Date]],"DDD")</f>
        <v>Fri</v>
      </c>
      <c r="O354">
        <f>DATEDIF(Table2[[#This Row],[Order Date]],Table2[[#This Row],[Delivered Date]],"D")</f>
        <v>7</v>
      </c>
      <c r="P354" s="10">
        <f>ROUND(Table2[[#This Row],[Quantity]]*Table2[[#This Row],[Unit Price]]*VLOOKUP(Table2[[#This Row],[Product Name]],Table_1[#All],2,FALSE),0)</f>
        <v>802</v>
      </c>
      <c r="Q354" s="10">
        <f>Table2[[#This Row],[Quantity]]*Table2[[#This Row],[Unit Price]]</f>
        <v>1458</v>
      </c>
      <c r="R354" s="10">
        <f>Table2[[#This Row],[Sales Revenue]]-Table2[[#This Row],[Total Cost After Product Percentage Calc]]</f>
        <v>656</v>
      </c>
    </row>
    <row r="355" spans="1:18" ht="14.25" customHeight="1" x14ac:dyDescent="0.3">
      <c r="A355" s="1">
        <v>354</v>
      </c>
      <c r="B355" s="1" t="s">
        <v>406</v>
      </c>
      <c r="C355" s="1" t="s">
        <v>12</v>
      </c>
      <c r="D355" s="1" t="s">
        <v>62</v>
      </c>
      <c r="E355" s="2">
        <v>45947</v>
      </c>
      <c r="F355" s="4">
        <v>45952</v>
      </c>
      <c r="G355" s="1">
        <v>5</v>
      </c>
      <c r="H355" s="1">
        <v>803</v>
      </c>
      <c r="I355" s="1" t="s">
        <v>14</v>
      </c>
      <c r="J355" s="1" t="s">
        <v>36</v>
      </c>
      <c r="K355" s="1" t="s">
        <v>20</v>
      </c>
      <c r="L355" t="str">
        <f>TEXT(Table2[[#This Row],[Order Date]],"YYY")</f>
        <v>2025</v>
      </c>
      <c r="M355" t="str">
        <f>TEXT(Table2[[#This Row],[Order Date]],"MMM")</f>
        <v>Oct</v>
      </c>
      <c r="N355" t="str">
        <f>TEXT(Table2[[#This Row],[Order Date]],"DDD")</f>
        <v>Fri</v>
      </c>
      <c r="O355">
        <f>DATEDIF(Table2[[#This Row],[Order Date]],Table2[[#This Row],[Delivered Date]],"D")</f>
        <v>5</v>
      </c>
      <c r="P355" s="10">
        <f>ROUND(Table2[[#This Row],[Quantity]]*Table2[[#This Row],[Unit Price]]*VLOOKUP(Table2[[#This Row],[Product Name]],Table_1[#All],2,FALSE),0)</f>
        <v>3413</v>
      </c>
      <c r="Q355" s="10">
        <f>Table2[[#This Row],[Quantity]]*Table2[[#This Row],[Unit Price]]</f>
        <v>4015</v>
      </c>
      <c r="R355" s="10">
        <f>Table2[[#This Row],[Sales Revenue]]-Table2[[#This Row],[Total Cost After Product Percentage Calc]]</f>
        <v>602</v>
      </c>
    </row>
    <row r="356" spans="1:18" ht="14.25" customHeight="1" x14ac:dyDescent="0.3">
      <c r="A356" s="1">
        <v>355</v>
      </c>
      <c r="B356" s="1" t="s">
        <v>407</v>
      </c>
      <c r="C356" s="1" t="s">
        <v>26</v>
      </c>
      <c r="D356" s="1" t="s">
        <v>27</v>
      </c>
      <c r="E356" s="2">
        <v>45863</v>
      </c>
      <c r="F356" s="4">
        <v>45868</v>
      </c>
      <c r="G356" s="1">
        <v>4</v>
      </c>
      <c r="H356" s="1">
        <v>176</v>
      </c>
      <c r="I356" s="1" t="s">
        <v>30</v>
      </c>
      <c r="J356" s="1" t="s">
        <v>15</v>
      </c>
      <c r="K356" s="1" t="s">
        <v>32</v>
      </c>
      <c r="L356" t="str">
        <f>TEXT(Table2[[#This Row],[Order Date]],"YYY")</f>
        <v>2025</v>
      </c>
      <c r="M356" t="str">
        <f>TEXT(Table2[[#This Row],[Order Date]],"MMM")</f>
        <v>Jul</v>
      </c>
      <c r="N356" t="str">
        <f>TEXT(Table2[[#This Row],[Order Date]],"DDD")</f>
        <v>Fri</v>
      </c>
      <c r="O356">
        <f>DATEDIF(Table2[[#This Row],[Order Date]],Table2[[#This Row],[Delivered Date]],"D")</f>
        <v>5</v>
      </c>
      <c r="P356" s="10">
        <f>ROUND(Table2[[#This Row],[Quantity]]*Table2[[#This Row],[Unit Price]]*VLOOKUP(Table2[[#This Row],[Product Name]],Table_1[#All],2,FALSE),0)</f>
        <v>387</v>
      </c>
      <c r="Q356" s="10">
        <f>Table2[[#This Row],[Quantity]]*Table2[[#This Row],[Unit Price]]</f>
        <v>704</v>
      </c>
      <c r="R356" s="10">
        <f>Table2[[#This Row],[Sales Revenue]]-Table2[[#This Row],[Total Cost After Product Percentage Calc]]</f>
        <v>317</v>
      </c>
    </row>
    <row r="357" spans="1:18" ht="14.25" customHeight="1" x14ac:dyDescent="0.3">
      <c r="A357" s="1">
        <v>356</v>
      </c>
      <c r="B357" s="1" t="s">
        <v>408</v>
      </c>
      <c r="C357" s="1" t="s">
        <v>26</v>
      </c>
      <c r="D357" s="1" t="s">
        <v>41</v>
      </c>
      <c r="E357" s="2">
        <v>45732</v>
      </c>
      <c r="F357" s="4">
        <v>45745</v>
      </c>
      <c r="G357" s="1">
        <v>4</v>
      </c>
      <c r="H357" s="1">
        <v>468</v>
      </c>
      <c r="I357" s="1" t="s">
        <v>30</v>
      </c>
      <c r="J357" s="1" t="s">
        <v>24</v>
      </c>
      <c r="K357" s="1" t="s">
        <v>16</v>
      </c>
      <c r="L357" t="str">
        <f>TEXT(Table2[[#This Row],[Order Date]],"YYY")</f>
        <v>2025</v>
      </c>
      <c r="M357" t="str">
        <f>TEXT(Table2[[#This Row],[Order Date]],"MMM")</f>
        <v>Mar</v>
      </c>
      <c r="N357" t="str">
        <f>TEXT(Table2[[#This Row],[Order Date]],"DDD")</f>
        <v>Sun</v>
      </c>
      <c r="O357">
        <f>DATEDIF(Table2[[#This Row],[Order Date]],Table2[[#This Row],[Delivered Date]],"D")</f>
        <v>13</v>
      </c>
      <c r="P357" s="10">
        <f>ROUND(Table2[[#This Row],[Quantity]]*Table2[[#This Row],[Unit Price]]*VLOOKUP(Table2[[#This Row],[Product Name]],Table_1[#All],2,FALSE),0)</f>
        <v>936</v>
      </c>
      <c r="Q357" s="10">
        <f>Table2[[#This Row],[Quantity]]*Table2[[#This Row],[Unit Price]]</f>
        <v>1872</v>
      </c>
      <c r="R357" s="10">
        <f>Table2[[#This Row],[Sales Revenue]]-Table2[[#This Row],[Total Cost After Product Percentage Calc]]</f>
        <v>936</v>
      </c>
    </row>
    <row r="358" spans="1:18" ht="14.25" customHeight="1" x14ac:dyDescent="0.3">
      <c r="A358" s="1">
        <v>357</v>
      </c>
      <c r="B358" s="1" t="s">
        <v>409</v>
      </c>
      <c r="C358" s="1" t="s">
        <v>34</v>
      </c>
      <c r="D358" s="1" t="s">
        <v>80</v>
      </c>
      <c r="E358" s="2">
        <v>45775</v>
      </c>
      <c r="F358" s="4">
        <v>45780</v>
      </c>
      <c r="G358" s="1">
        <v>3</v>
      </c>
      <c r="H358" s="1">
        <v>788</v>
      </c>
      <c r="I358" s="1" t="s">
        <v>14</v>
      </c>
      <c r="J358" s="1" t="s">
        <v>24</v>
      </c>
      <c r="K358" s="1" t="s">
        <v>20</v>
      </c>
      <c r="L358" t="str">
        <f>TEXT(Table2[[#This Row],[Order Date]],"YYY")</f>
        <v>2025</v>
      </c>
      <c r="M358" t="str">
        <f>TEXT(Table2[[#This Row],[Order Date]],"MMM")</f>
        <v>Apr</v>
      </c>
      <c r="N358" t="str">
        <f>TEXT(Table2[[#This Row],[Order Date]],"DDD")</f>
        <v>Mon</v>
      </c>
      <c r="O358">
        <f>DATEDIF(Table2[[#This Row],[Order Date]],Table2[[#This Row],[Delivered Date]],"D")</f>
        <v>5</v>
      </c>
      <c r="P358" s="10">
        <f>ROUND(Table2[[#This Row],[Quantity]]*Table2[[#This Row],[Unit Price]]*VLOOKUP(Table2[[#This Row],[Product Name]],Table_1[#All],2,FALSE),0)</f>
        <v>1773</v>
      </c>
      <c r="Q358" s="10">
        <f>Table2[[#This Row],[Quantity]]*Table2[[#This Row],[Unit Price]]</f>
        <v>2364</v>
      </c>
      <c r="R358" s="10">
        <f>Table2[[#This Row],[Sales Revenue]]-Table2[[#This Row],[Total Cost After Product Percentage Calc]]</f>
        <v>591</v>
      </c>
    </row>
    <row r="359" spans="1:18" ht="14.25" customHeight="1" x14ac:dyDescent="0.3">
      <c r="A359" s="1">
        <v>358</v>
      </c>
      <c r="B359" s="1" t="s">
        <v>410</v>
      </c>
      <c r="C359" s="1" t="s">
        <v>22</v>
      </c>
      <c r="D359" s="1" t="s">
        <v>87</v>
      </c>
      <c r="E359" s="2">
        <v>45700</v>
      </c>
      <c r="F359" s="4">
        <v>45701</v>
      </c>
      <c r="G359" s="1">
        <v>8</v>
      </c>
      <c r="H359" s="1">
        <v>509</v>
      </c>
      <c r="I359" s="1" t="s">
        <v>14</v>
      </c>
      <c r="J359" s="1" t="s">
        <v>36</v>
      </c>
      <c r="K359" s="1" t="s">
        <v>20</v>
      </c>
      <c r="L359" t="str">
        <f>TEXT(Table2[[#This Row],[Order Date]],"YYY")</f>
        <v>2025</v>
      </c>
      <c r="M359" t="str">
        <f>TEXT(Table2[[#This Row],[Order Date]],"MMM")</f>
        <v>Feb</v>
      </c>
      <c r="N359" t="str">
        <f>TEXT(Table2[[#This Row],[Order Date]],"DDD")</f>
        <v>Wed</v>
      </c>
      <c r="O359">
        <f>DATEDIF(Table2[[#This Row],[Order Date]],Table2[[#This Row],[Delivered Date]],"D")</f>
        <v>1</v>
      </c>
      <c r="P359" s="10">
        <f>ROUND(Table2[[#This Row],[Quantity]]*Table2[[#This Row],[Unit Price]]*VLOOKUP(Table2[[#This Row],[Product Name]],Table_1[#All],2,FALSE),0)</f>
        <v>3258</v>
      </c>
      <c r="Q359" s="10">
        <f>Table2[[#This Row],[Quantity]]*Table2[[#This Row],[Unit Price]]</f>
        <v>4072</v>
      </c>
      <c r="R359" s="10">
        <f>Table2[[#This Row],[Sales Revenue]]-Table2[[#This Row],[Total Cost After Product Percentage Calc]]</f>
        <v>814</v>
      </c>
    </row>
    <row r="360" spans="1:18" ht="14.25" customHeight="1" x14ac:dyDescent="0.3">
      <c r="A360" s="1">
        <v>359</v>
      </c>
      <c r="B360" s="1" t="s">
        <v>411</v>
      </c>
      <c r="C360" s="1" t="s">
        <v>34</v>
      </c>
      <c r="D360" s="1" t="s">
        <v>45</v>
      </c>
      <c r="E360" s="2">
        <v>45692</v>
      </c>
      <c r="F360" s="4">
        <v>45707</v>
      </c>
      <c r="G360" s="1">
        <v>2</v>
      </c>
      <c r="H360" s="1">
        <v>530</v>
      </c>
      <c r="I360" s="1" t="s">
        <v>30</v>
      </c>
      <c r="J360" s="1" t="s">
        <v>15</v>
      </c>
      <c r="K360" s="1" t="s">
        <v>49</v>
      </c>
      <c r="L360" t="str">
        <f>TEXT(Table2[[#This Row],[Order Date]],"YYY")</f>
        <v>2025</v>
      </c>
      <c r="M360" t="str">
        <f>TEXT(Table2[[#This Row],[Order Date]],"MMM")</f>
        <v>Feb</v>
      </c>
      <c r="N360" t="str">
        <f>TEXT(Table2[[#This Row],[Order Date]],"DDD")</f>
        <v>Tue</v>
      </c>
      <c r="O360">
        <f>DATEDIF(Table2[[#This Row],[Order Date]],Table2[[#This Row],[Delivered Date]],"D")</f>
        <v>15</v>
      </c>
      <c r="P360" s="10">
        <f>ROUND(Table2[[#This Row],[Quantity]]*Table2[[#This Row],[Unit Price]]*VLOOKUP(Table2[[#This Row],[Product Name]],Table_1[#All],2,FALSE),0)</f>
        <v>689</v>
      </c>
      <c r="Q360" s="10">
        <f>Table2[[#This Row],[Quantity]]*Table2[[#This Row],[Unit Price]]</f>
        <v>1060</v>
      </c>
      <c r="R360" s="10">
        <f>Table2[[#This Row],[Sales Revenue]]-Table2[[#This Row],[Total Cost After Product Percentage Calc]]</f>
        <v>371</v>
      </c>
    </row>
    <row r="361" spans="1:18" ht="14.25" customHeight="1" x14ac:dyDescent="0.3">
      <c r="A361" s="1">
        <v>360</v>
      </c>
      <c r="B361" s="1" t="s">
        <v>412</v>
      </c>
      <c r="C361" s="1" t="s">
        <v>34</v>
      </c>
      <c r="D361" s="1" t="s">
        <v>80</v>
      </c>
      <c r="E361" s="2">
        <v>45759</v>
      </c>
      <c r="F361" s="4">
        <v>45767</v>
      </c>
      <c r="G361" s="1">
        <v>7</v>
      </c>
      <c r="H361" s="1">
        <v>744</v>
      </c>
      <c r="I361" s="1" t="s">
        <v>14</v>
      </c>
      <c r="J361" s="1" t="s">
        <v>31</v>
      </c>
      <c r="K361" s="1" t="s">
        <v>20</v>
      </c>
      <c r="L361" t="str">
        <f>TEXT(Table2[[#This Row],[Order Date]],"YYY")</f>
        <v>2025</v>
      </c>
      <c r="M361" t="str">
        <f>TEXT(Table2[[#This Row],[Order Date]],"MMM")</f>
        <v>Apr</v>
      </c>
      <c r="N361" t="str">
        <f>TEXT(Table2[[#This Row],[Order Date]],"DDD")</f>
        <v>Sat</v>
      </c>
      <c r="O361">
        <f>DATEDIF(Table2[[#This Row],[Order Date]],Table2[[#This Row],[Delivered Date]],"D")</f>
        <v>8</v>
      </c>
      <c r="P361" s="10">
        <f>ROUND(Table2[[#This Row],[Quantity]]*Table2[[#This Row],[Unit Price]]*VLOOKUP(Table2[[#This Row],[Product Name]],Table_1[#All],2,FALSE),0)</f>
        <v>3906</v>
      </c>
      <c r="Q361" s="10">
        <f>Table2[[#This Row],[Quantity]]*Table2[[#This Row],[Unit Price]]</f>
        <v>5208</v>
      </c>
      <c r="R361" s="10">
        <f>Table2[[#This Row],[Sales Revenue]]-Table2[[#This Row],[Total Cost After Product Percentage Calc]]</f>
        <v>1302</v>
      </c>
    </row>
    <row r="362" spans="1:18" ht="14.25" customHeight="1" x14ac:dyDescent="0.3">
      <c r="A362" s="1">
        <v>361</v>
      </c>
      <c r="B362" s="1" t="s">
        <v>413</v>
      </c>
      <c r="C362" s="1" t="s">
        <v>26</v>
      </c>
      <c r="D362" s="1" t="s">
        <v>41</v>
      </c>
      <c r="E362" s="2">
        <v>45892</v>
      </c>
      <c r="F362" s="4">
        <v>45903</v>
      </c>
      <c r="G362" s="1">
        <v>4</v>
      </c>
      <c r="H362" s="1">
        <v>444</v>
      </c>
      <c r="I362" s="1" t="s">
        <v>30</v>
      </c>
      <c r="J362" s="1" t="s">
        <v>36</v>
      </c>
      <c r="K362" s="1" t="s">
        <v>16</v>
      </c>
      <c r="L362" t="str">
        <f>TEXT(Table2[[#This Row],[Order Date]],"YYY")</f>
        <v>2025</v>
      </c>
      <c r="M362" t="str">
        <f>TEXT(Table2[[#This Row],[Order Date]],"MMM")</f>
        <v>Aug</v>
      </c>
      <c r="N362" t="str">
        <f>TEXT(Table2[[#This Row],[Order Date]],"DDD")</f>
        <v>Sat</v>
      </c>
      <c r="O362">
        <f>DATEDIF(Table2[[#This Row],[Order Date]],Table2[[#This Row],[Delivered Date]],"D")</f>
        <v>11</v>
      </c>
      <c r="P362" s="10">
        <f>ROUND(Table2[[#This Row],[Quantity]]*Table2[[#This Row],[Unit Price]]*VLOOKUP(Table2[[#This Row],[Product Name]],Table_1[#All],2,FALSE),0)</f>
        <v>888</v>
      </c>
      <c r="Q362" s="10">
        <f>Table2[[#This Row],[Quantity]]*Table2[[#This Row],[Unit Price]]</f>
        <v>1776</v>
      </c>
      <c r="R362" s="10">
        <f>Table2[[#This Row],[Sales Revenue]]-Table2[[#This Row],[Total Cost After Product Percentage Calc]]</f>
        <v>888</v>
      </c>
    </row>
    <row r="363" spans="1:18" ht="14.25" customHeight="1" x14ac:dyDescent="0.3">
      <c r="A363" s="1">
        <v>362</v>
      </c>
      <c r="B363" s="1" t="s">
        <v>414</v>
      </c>
      <c r="C363" s="1" t="s">
        <v>26</v>
      </c>
      <c r="D363" s="1" t="s">
        <v>74</v>
      </c>
      <c r="E363" s="2">
        <v>45858</v>
      </c>
      <c r="F363" s="4">
        <v>45866</v>
      </c>
      <c r="G363" s="1">
        <v>7</v>
      </c>
      <c r="H363" s="1">
        <v>474</v>
      </c>
      <c r="I363" s="1" t="s">
        <v>14</v>
      </c>
      <c r="J363" s="1" t="s">
        <v>31</v>
      </c>
      <c r="K363" s="1" t="s">
        <v>16</v>
      </c>
      <c r="L363" t="str">
        <f>TEXT(Table2[[#This Row],[Order Date]],"YYY")</f>
        <v>2025</v>
      </c>
      <c r="M363" t="str">
        <f>TEXT(Table2[[#This Row],[Order Date]],"MMM")</f>
        <v>Jul</v>
      </c>
      <c r="N363" t="str">
        <f>TEXT(Table2[[#This Row],[Order Date]],"DDD")</f>
        <v>Sun</v>
      </c>
      <c r="O363">
        <f>DATEDIF(Table2[[#This Row],[Order Date]],Table2[[#This Row],[Delivered Date]],"D")</f>
        <v>8</v>
      </c>
      <c r="P363" s="10">
        <f>ROUND(Table2[[#This Row],[Quantity]]*Table2[[#This Row],[Unit Price]]*VLOOKUP(Table2[[#This Row],[Product Name]],Table_1[#All],2,FALSE),0)</f>
        <v>1825</v>
      </c>
      <c r="Q363" s="10">
        <f>Table2[[#This Row],[Quantity]]*Table2[[#This Row],[Unit Price]]</f>
        <v>3318</v>
      </c>
      <c r="R363" s="10">
        <f>Table2[[#This Row],[Sales Revenue]]-Table2[[#This Row],[Total Cost After Product Percentage Calc]]</f>
        <v>1493</v>
      </c>
    </row>
    <row r="364" spans="1:18" ht="14.25" customHeight="1" x14ac:dyDescent="0.3">
      <c r="A364" s="1">
        <v>363</v>
      </c>
      <c r="B364" s="1" t="s">
        <v>415</v>
      </c>
      <c r="C364" s="1" t="s">
        <v>12</v>
      </c>
      <c r="D364" s="1" t="s">
        <v>29</v>
      </c>
      <c r="E364" s="2">
        <v>45931</v>
      </c>
      <c r="F364" s="4">
        <v>45936</v>
      </c>
      <c r="G364" s="1">
        <v>8</v>
      </c>
      <c r="H364" s="1">
        <v>731</v>
      </c>
      <c r="I364" s="1" t="s">
        <v>14</v>
      </c>
      <c r="J364" s="1" t="s">
        <v>52</v>
      </c>
      <c r="K364" s="1" t="s">
        <v>49</v>
      </c>
      <c r="L364" t="str">
        <f>TEXT(Table2[[#This Row],[Order Date]],"YYY")</f>
        <v>2025</v>
      </c>
      <c r="M364" t="str">
        <f>TEXT(Table2[[#This Row],[Order Date]],"MMM")</f>
        <v>Oct</v>
      </c>
      <c r="N364" t="str">
        <f>TEXT(Table2[[#This Row],[Order Date]],"DDD")</f>
        <v>Wed</v>
      </c>
      <c r="O364">
        <f>DATEDIF(Table2[[#This Row],[Order Date]],Table2[[#This Row],[Delivered Date]],"D")</f>
        <v>5</v>
      </c>
      <c r="P364" s="10">
        <f>ROUND(Table2[[#This Row],[Quantity]]*Table2[[#This Row],[Unit Price]]*VLOOKUP(Table2[[#This Row],[Product Name]],Table_1[#All],2,FALSE),0)</f>
        <v>3801</v>
      </c>
      <c r="Q364" s="10">
        <f>Table2[[#This Row],[Quantity]]*Table2[[#This Row],[Unit Price]]</f>
        <v>5848</v>
      </c>
      <c r="R364" s="10">
        <f>Table2[[#This Row],[Sales Revenue]]-Table2[[#This Row],[Total Cost After Product Percentage Calc]]</f>
        <v>2047</v>
      </c>
    </row>
    <row r="365" spans="1:18" ht="14.25" customHeight="1" x14ac:dyDescent="0.3">
      <c r="A365" s="1">
        <v>364</v>
      </c>
      <c r="B365" s="1" t="s">
        <v>416</v>
      </c>
      <c r="C365" s="1" t="s">
        <v>18</v>
      </c>
      <c r="D365" s="1" t="s">
        <v>19</v>
      </c>
      <c r="E365" s="2">
        <v>45804</v>
      </c>
      <c r="F365" s="4">
        <v>45811</v>
      </c>
      <c r="G365" s="1">
        <v>2</v>
      </c>
      <c r="H365" s="1">
        <v>288</v>
      </c>
      <c r="I365" s="1" t="s">
        <v>14</v>
      </c>
      <c r="J365" s="1" t="s">
        <v>52</v>
      </c>
      <c r="K365" s="1" t="s">
        <v>49</v>
      </c>
      <c r="L365" t="str">
        <f>TEXT(Table2[[#This Row],[Order Date]],"YYY")</f>
        <v>2025</v>
      </c>
      <c r="M365" t="str">
        <f>TEXT(Table2[[#This Row],[Order Date]],"MMM")</f>
        <v>May</v>
      </c>
      <c r="N365" t="str">
        <f>TEXT(Table2[[#This Row],[Order Date]],"DDD")</f>
        <v>Tue</v>
      </c>
      <c r="O365">
        <f>DATEDIF(Table2[[#This Row],[Order Date]],Table2[[#This Row],[Delivered Date]],"D")</f>
        <v>7</v>
      </c>
      <c r="P365" s="10">
        <f>ROUND(Table2[[#This Row],[Quantity]]*Table2[[#This Row],[Unit Price]]*VLOOKUP(Table2[[#This Row],[Product Name]],Table_1[#All],2,FALSE),0)</f>
        <v>288</v>
      </c>
      <c r="Q365" s="10">
        <f>Table2[[#This Row],[Quantity]]*Table2[[#This Row],[Unit Price]]</f>
        <v>576</v>
      </c>
      <c r="R365" s="10">
        <f>Table2[[#This Row],[Sales Revenue]]-Table2[[#This Row],[Total Cost After Product Percentage Calc]]</f>
        <v>288</v>
      </c>
    </row>
    <row r="366" spans="1:18" ht="14.25" customHeight="1" x14ac:dyDescent="0.3">
      <c r="A366" s="1">
        <v>365</v>
      </c>
      <c r="B366" s="1" t="s">
        <v>417</v>
      </c>
      <c r="C366" s="1" t="s">
        <v>22</v>
      </c>
      <c r="D366" s="1" t="s">
        <v>87</v>
      </c>
      <c r="E366" s="2">
        <v>46007</v>
      </c>
      <c r="F366" s="4">
        <v>46022</v>
      </c>
      <c r="G366" s="1">
        <v>8</v>
      </c>
      <c r="H366" s="1">
        <v>179</v>
      </c>
      <c r="I366" s="1" t="s">
        <v>30</v>
      </c>
      <c r="J366" s="1" t="s">
        <v>36</v>
      </c>
      <c r="K366" s="1" t="s">
        <v>32</v>
      </c>
      <c r="L366" t="str">
        <f>TEXT(Table2[[#This Row],[Order Date]],"YYY")</f>
        <v>2025</v>
      </c>
      <c r="M366" t="str">
        <f>TEXT(Table2[[#This Row],[Order Date]],"MMM")</f>
        <v>Dec</v>
      </c>
      <c r="N366" t="str">
        <f>TEXT(Table2[[#This Row],[Order Date]],"DDD")</f>
        <v>Tue</v>
      </c>
      <c r="O366">
        <f>DATEDIF(Table2[[#This Row],[Order Date]],Table2[[#This Row],[Delivered Date]],"D")</f>
        <v>15</v>
      </c>
      <c r="P366" s="10">
        <f>ROUND(Table2[[#This Row],[Quantity]]*Table2[[#This Row],[Unit Price]]*VLOOKUP(Table2[[#This Row],[Product Name]],Table_1[#All],2,FALSE),0)</f>
        <v>1146</v>
      </c>
      <c r="Q366" s="10">
        <f>Table2[[#This Row],[Quantity]]*Table2[[#This Row],[Unit Price]]</f>
        <v>1432</v>
      </c>
      <c r="R366" s="10">
        <f>Table2[[#This Row],[Sales Revenue]]-Table2[[#This Row],[Total Cost After Product Percentage Calc]]</f>
        <v>286</v>
      </c>
    </row>
    <row r="367" spans="1:18" ht="14.25" customHeight="1" x14ac:dyDescent="0.3">
      <c r="A367" s="1">
        <v>366</v>
      </c>
      <c r="B367" s="1" t="s">
        <v>418</v>
      </c>
      <c r="C367" s="1" t="s">
        <v>18</v>
      </c>
      <c r="D367" s="1" t="s">
        <v>60</v>
      </c>
      <c r="E367" s="2">
        <v>45725</v>
      </c>
      <c r="F367" s="4">
        <v>45730</v>
      </c>
      <c r="G367" s="1">
        <v>6</v>
      </c>
      <c r="H367" s="1">
        <v>788</v>
      </c>
      <c r="I367" s="1" t="s">
        <v>14</v>
      </c>
      <c r="J367" s="1" t="s">
        <v>24</v>
      </c>
      <c r="K367" s="1" t="s">
        <v>49</v>
      </c>
      <c r="L367" t="str">
        <f>TEXT(Table2[[#This Row],[Order Date]],"YYY")</f>
        <v>2025</v>
      </c>
      <c r="M367" t="str">
        <f>TEXT(Table2[[#This Row],[Order Date]],"MMM")</f>
        <v>Mar</v>
      </c>
      <c r="N367" t="str">
        <f>TEXT(Table2[[#This Row],[Order Date]],"DDD")</f>
        <v>Sun</v>
      </c>
      <c r="O367">
        <f>DATEDIF(Table2[[#This Row],[Order Date]],Table2[[#This Row],[Delivered Date]],"D")</f>
        <v>5</v>
      </c>
      <c r="P367" s="10">
        <f>ROUND(Table2[[#This Row],[Quantity]]*Table2[[#This Row],[Unit Price]]*VLOOKUP(Table2[[#This Row],[Product Name]],Table_1[#All],2,FALSE),0)</f>
        <v>2600</v>
      </c>
      <c r="Q367" s="10">
        <f>Table2[[#This Row],[Quantity]]*Table2[[#This Row],[Unit Price]]</f>
        <v>4728</v>
      </c>
      <c r="R367" s="10">
        <f>Table2[[#This Row],[Sales Revenue]]-Table2[[#This Row],[Total Cost After Product Percentage Calc]]</f>
        <v>2128</v>
      </c>
    </row>
    <row r="368" spans="1:18" ht="14.25" customHeight="1" x14ac:dyDescent="0.3">
      <c r="A368" s="1">
        <v>367</v>
      </c>
      <c r="B368" s="1" t="s">
        <v>419</v>
      </c>
      <c r="C368" s="1" t="s">
        <v>22</v>
      </c>
      <c r="D368" s="1" t="s">
        <v>43</v>
      </c>
      <c r="E368" s="2">
        <v>45883</v>
      </c>
      <c r="F368" s="4">
        <v>45885</v>
      </c>
      <c r="G368" s="1">
        <v>3</v>
      </c>
      <c r="H368" s="1">
        <v>949</v>
      </c>
      <c r="I368" s="1" t="s">
        <v>14</v>
      </c>
      <c r="J368" s="1" t="s">
        <v>36</v>
      </c>
      <c r="K368" s="1" t="s">
        <v>32</v>
      </c>
      <c r="L368" t="str">
        <f>TEXT(Table2[[#This Row],[Order Date]],"YYY")</f>
        <v>2025</v>
      </c>
      <c r="M368" t="str">
        <f>TEXT(Table2[[#This Row],[Order Date]],"MMM")</f>
        <v>Aug</v>
      </c>
      <c r="N368" t="str">
        <f>TEXT(Table2[[#This Row],[Order Date]],"DDD")</f>
        <v>Thu</v>
      </c>
      <c r="O368">
        <f>DATEDIF(Table2[[#This Row],[Order Date]],Table2[[#This Row],[Delivered Date]],"D")</f>
        <v>2</v>
      </c>
      <c r="P368" s="10">
        <f>ROUND(Table2[[#This Row],[Quantity]]*Table2[[#This Row],[Unit Price]]*VLOOKUP(Table2[[#This Row],[Product Name]],Table_1[#All],2,FALSE),0)</f>
        <v>1851</v>
      </c>
      <c r="Q368" s="10">
        <f>Table2[[#This Row],[Quantity]]*Table2[[#This Row],[Unit Price]]</f>
        <v>2847</v>
      </c>
      <c r="R368" s="10">
        <f>Table2[[#This Row],[Sales Revenue]]-Table2[[#This Row],[Total Cost After Product Percentage Calc]]</f>
        <v>996</v>
      </c>
    </row>
    <row r="369" spans="1:18" ht="14.25" customHeight="1" x14ac:dyDescent="0.3">
      <c r="A369" s="1">
        <v>368</v>
      </c>
      <c r="B369" s="1" t="s">
        <v>420</v>
      </c>
      <c r="C369" s="1" t="s">
        <v>18</v>
      </c>
      <c r="D369" s="1" t="s">
        <v>68</v>
      </c>
      <c r="E369" s="2">
        <v>45977</v>
      </c>
      <c r="F369" s="4">
        <v>45986</v>
      </c>
      <c r="G369" s="1">
        <v>8</v>
      </c>
      <c r="H369" s="1">
        <v>137</v>
      </c>
      <c r="I369" s="1" t="s">
        <v>14</v>
      </c>
      <c r="J369" s="1" t="s">
        <v>31</v>
      </c>
      <c r="K369" s="1" t="s">
        <v>16</v>
      </c>
      <c r="L369" t="str">
        <f>TEXT(Table2[[#This Row],[Order Date]],"YYY")</f>
        <v>2025</v>
      </c>
      <c r="M369" t="str">
        <f>TEXT(Table2[[#This Row],[Order Date]],"MMM")</f>
        <v>Nov</v>
      </c>
      <c r="N369" t="str">
        <f>TEXT(Table2[[#This Row],[Order Date]],"DDD")</f>
        <v>Sun</v>
      </c>
      <c r="O369">
        <f>DATEDIF(Table2[[#This Row],[Order Date]],Table2[[#This Row],[Delivered Date]],"D")</f>
        <v>9</v>
      </c>
      <c r="P369" s="10">
        <f>ROUND(Table2[[#This Row],[Quantity]]*Table2[[#This Row],[Unit Price]]*VLOOKUP(Table2[[#This Row],[Product Name]],Table_1[#All],2,FALSE),0)</f>
        <v>548</v>
      </c>
      <c r="Q369" s="10">
        <f>Table2[[#This Row],[Quantity]]*Table2[[#This Row],[Unit Price]]</f>
        <v>1096</v>
      </c>
      <c r="R369" s="10">
        <f>Table2[[#This Row],[Sales Revenue]]-Table2[[#This Row],[Total Cost After Product Percentage Calc]]</f>
        <v>548</v>
      </c>
    </row>
    <row r="370" spans="1:18" ht="14.25" customHeight="1" x14ac:dyDescent="0.3">
      <c r="A370" s="1">
        <v>369</v>
      </c>
      <c r="B370" s="1" t="s">
        <v>421</v>
      </c>
      <c r="C370" s="1" t="s">
        <v>12</v>
      </c>
      <c r="D370" s="1" t="s">
        <v>29</v>
      </c>
      <c r="E370" s="2">
        <v>45895</v>
      </c>
      <c r="F370" s="4">
        <v>45898</v>
      </c>
      <c r="G370" s="1">
        <v>2</v>
      </c>
      <c r="H370" s="1">
        <v>968</v>
      </c>
      <c r="I370" s="1" t="s">
        <v>30</v>
      </c>
      <c r="J370" s="1" t="s">
        <v>15</v>
      </c>
      <c r="K370" s="1" t="s">
        <v>49</v>
      </c>
      <c r="L370" t="str">
        <f>TEXT(Table2[[#This Row],[Order Date]],"YYY")</f>
        <v>2025</v>
      </c>
      <c r="M370" t="str">
        <f>TEXT(Table2[[#This Row],[Order Date]],"MMM")</f>
        <v>Aug</v>
      </c>
      <c r="N370" t="str">
        <f>TEXT(Table2[[#This Row],[Order Date]],"DDD")</f>
        <v>Tue</v>
      </c>
      <c r="O370">
        <f>DATEDIF(Table2[[#This Row],[Order Date]],Table2[[#This Row],[Delivered Date]],"D")</f>
        <v>3</v>
      </c>
      <c r="P370" s="10">
        <f>ROUND(Table2[[#This Row],[Quantity]]*Table2[[#This Row],[Unit Price]]*VLOOKUP(Table2[[#This Row],[Product Name]],Table_1[#All],2,FALSE),0)</f>
        <v>1258</v>
      </c>
      <c r="Q370" s="10">
        <f>Table2[[#This Row],[Quantity]]*Table2[[#This Row],[Unit Price]]</f>
        <v>1936</v>
      </c>
      <c r="R370" s="10">
        <f>Table2[[#This Row],[Sales Revenue]]-Table2[[#This Row],[Total Cost After Product Percentage Calc]]</f>
        <v>678</v>
      </c>
    </row>
    <row r="371" spans="1:18" ht="14.25" customHeight="1" x14ac:dyDescent="0.3">
      <c r="A371" s="1">
        <v>370</v>
      </c>
      <c r="B371" s="1" t="s">
        <v>422</v>
      </c>
      <c r="C371" s="1" t="s">
        <v>26</v>
      </c>
      <c r="D371" s="1" t="s">
        <v>74</v>
      </c>
      <c r="E371" s="2">
        <v>45913</v>
      </c>
      <c r="F371" s="4">
        <v>45922</v>
      </c>
      <c r="G371" s="1">
        <v>9</v>
      </c>
      <c r="H371" s="1">
        <v>605</v>
      </c>
      <c r="I371" s="1" t="s">
        <v>30</v>
      </c>
      <c r="J371" s="1" t="s">
        <v>31</v>
      </c>
      <c r="K371" s="1" t="s">
        <v>49</v>
      </c>
      <c r="L371" t="str">
        <f>TEXT(Table2[[#This Row],[Order Date]],"YYY")</f>
        <v>2025</v>
      </c>
      <c r="M371" t="str">
        <f>TEXT(Table2[[#This Row],[Order Date]],"MMM")</f>
        <v>Sep</v>
      </c>
      <c r="N371" t="str">
        <f>TEXT(Table2[[#This Row],[Order Date]],"DDD")</f>
        <v>Sat</v>
      </c>
      <c r="O371">
        <f>DATEDIF(Table2[[#This Row],[Order Date]],Table2[[#This Row],[Delivered Date]],"D")</f>
        <v>9</v>
      </c>
      <c r="P371" s="10">
        <f>ROUND(Table2[[#This Row],[Quantity]]*Table2[[#This Row],[Unit Price]]*VLOOKUP(Table2[[#This Row],[Product Name]],Table_1[#All],2,FALSE),0)</f>
        <v>2995</v>
      </c>
      <c r="Q371" s="10">
        <f>Table2[[#This Row],[Quantity]]*Table2[[#This Row],[Unit Price]]</f>
        <v>5445</v>
      </c>
      <c r="R371" s="10">
        <f>Table2[[#This Row],[Sales Revenue]]-Table2[[#This Row],[Total Cost After Product Percentage Calc]]</f>
        <v>2450</v>
      </c>
    </row>
    <row r="372" spans="1:18" ht="14.25" customHeight="1" x14ac:dyDescent="0.3">
      <c r="A372" s="1">
        <v>371</v>
      </c>
      <c r="B372" s="1" t="s">
        <v>423</v>
      </c>
      <c r="C372" s="1" t="s">
        <v>26</v>
      </c>
      <c r="D372" s="1" t="s">
        <v>27</v>
      </c>
      <c r="E372" s="2">
        <v>45932</v>
      </c>
      <c r="F372" s="4">
        <v>45942</v>
      </c>
      <c r="G372" s="1">
        <v>5</v>
      </c>
      <c r="H372" s="1">
        <v>50</v>
      </c>
      <c r="I372" s="1" t="s">
        <v>30</v>
      </c>
      <c r="J372" s="1" t="s">
        <v>52</v>
      </c>
      <c r="K372" s="1" t="s">
        <v>20</v>
      </c>
      <c r="L372" t="str">
        <f>TEXT(Table2[[#This Row],[Order Date]],"YYY")</f>
        <v>2025</v>
      </c>
      <c r="M372" t="str">
        <f>TEXT(Table2[[#This Row],[Order Date]],"MMM")</f>
        <v>Oct</v>
      </c>
      <c r="N372" t="str">
        <f>TEXT(Table2[[#This Row],[Order Date]],"DDD")</f>
        <v>Thu</v>
      </c>
      <c r="O372">
        <f>DATEDIF(Table2[[#This Row],[Order Date]],Table2[[#This Row],[Delivered Date]],"D")</f>
        <v>10</v>
      </c>
      <c r="P372" s="10">
        <f>ROUND(Table2[[#This Row],[Quantity]]*Table2[[#This Row],[Unit Price]]*VLOOKUP(Table2[[#This Row],[Product Name]],Table_1[#All],2,FALSE),0)</f>
        <v>138</v>
      </c>
      <c r="Q372" s="10">
        <f>Table2[[#This Row],[Quantity]]*Table2[[#This Row],[Unit Price]]</f>
        <v>250</v>
      </c>
      <c r="R372" s="10">
        <f>Table2[[#This Row],[Sales Revenue]]-Table2[[#This Row],[Total Cost After Product Percentage Calc]]</f>
        <v>112</v>
      </c>
    </row>
    <row r="373" spans="1:18" ht="14.25" customHeight="1" x14ac:dyDescent="0.3">
      <c r="A373" s="1">
        <v>372</v>
      </c>
      <c r="B373" s="1" t="s">
        <v>424</v>
      </c>
      <c r="C373" s="1" t="s">
        <v>12</v>
      </c>
      <c r="D373" s="1" t="s">
        <v>13</v>
      </c>
      <c r="E373" s="2">
        <v>46003</v>
      </c>
      <c r="F373" s="4">
        <v>46014</v>
      </c>
      <c r="G373" s="1">
        <v>9</v>
      </c>
      <c r="H373" s="1">
        <v>647</v>
      </c>
      <c r="I373" s="1" t="s">
        <v>14</v>
      </c>
      <c r="J373" s="1" t="s">
        <v>24</v>
      </c>
      <c r="K373" s="1" t="s">
        <v>32</v>
      </c>
      <c r="L373" t="str">
        <f>TEXT(Table2[[#This Row],[Order Date]],"YYY")</f>
        <v>2025</v>
      </c>
      <c r="M373" t="str">
        <f>TEXT(Table2[[#This Row],[Order Date]],"MMM")</f>
        <v>Dec</v>
      </c>
      <c r="N373" t="str">
        <f>TEXT(Table2[[#This Row],[Order Date]],"DDD")</f>
        <v>Fri</v>
      </c>
      <c r="O373">
        <f>DATEDIF(Table2[[#This Row],[Order Date]],Table2[[#This Row],[Delivered Date]],"D")</f>
        <v>11</v>
      </c>
      <c r="P373" s="10">
        <f>ROUND(Table2[[#This Row],[Quantity]]*Table2[[#This Row],[Unit Price]]*VLOOKUP(Table2[[#This Row],[Product Name]],Table_1[#All],2,FALSE),0)</f>
        <v>4367</v>
      </c>
      <c r="Q373" s="10">
        <f>Table2[[#This Row],[Quantity]]*Table2[[#This Row],[Unit Price]]</f>
        <v>5823</v>
      </c>
      <c r="R373" s="10">
        <f>Table2[[#This Row],[Sales Revenue]]-Table2[[#This Row],[Total Cost After Product Percentage Calc]]</f>
        <v>1456</v>
      </c>
    </row>
    <row r="374" spans="1:18" ht="14.25" customHeight="1" x14ac:dyDescent="0.3">
      <c r="A374" s="1">
        <v>373</v>
      </c>
      <c r="B374" s="1" t="s">
        <v>425</v>
      </c>
      <c r="C374" s="1" t="s">
        <v>22</v>
      </c>
      <c r="D374" s="1" t="s">
        <v>87</v>
      </c>
      <c r="E374" s="2">
        <v>45790</v>
      </c>
      <c r="F374" s="4">
        <v>45793</v>
      </c>
      <c r="G374" s="1">
        <v>10</v>
      </c>
      <c r="H374" s="1">
        <v>253</v>
      </c>
      <c r="I374" s="1" t="s">
        <v>14</v>
      </c>
      <c r="J374" s="1" t="s">
        <v>24</v>
      </c>
      <c r="K374" s="1" t="s">
        <v>20</v>
      </c>
      <c r="L374" t="str">
        <f>TEXT(Table2[[#This Row],[Order Date]],"YYY")</f>
        <v>2025</v>
      </c>
      <c r="M374" t="str">
        <f>TEXT(Table2[[#This Row],[Order Date]],"MMM")</f>
        <v>May</v>
      </c>
      <c r="N374" t="str">
        <f>TEXT(Table2[[#This Row],[Order Date]],"DDD")</f>
        <v>Tue</v>
      </c>
      <c r="O374">
        <f>DATEDIF(Table2[[#This Row],[Order Date]],Table2[[#This Row],[Delivered Date]],"D")</f>
        <v>3</v>
      </c>
      <c r="P374" s="10">
        <f>ROUND(Table2[[#This Row],[Quantity]]*Table2[[#This Row],[Unit Price]]*VLOOKUP(Table2[[#This Row],[Product Name]],Table_1[#All],2,FALSE),0)</f>
        <v>2024</v>
      </c>
      <c r="Q374" s="10">
        <f>Table2[[#This Row],[Quantity]]*Table2[[#This Row],[Unit Price]]</f>
        <v>2530</v>
      </c>
      <c r="R374" s="10">
        <f>Table2[[#This Row],[Sales Revenue]]-Table2[[#This Row],[Total Cost After Product Percentage Calc]]</f>
        <v>506</v>
      </c>
    </row>
    <row r="375" spans="1:18" ht="14.25" customHeight="1" x14ac:dyDescent="0.3">
      <c r="A375" s="1">
        <v>374</v>
      </c>
      <c r="B375" s="1" t="s">
        <v>426</v>
      </c>
      <c r="C375" s="1" t="s">
        <v>18</v>
      </c>
      <c r="D375" s="1" t="s">
        <v>47</v>
      </c>
      <c r="E375" s="2">
        <v>45821</v>
      </c>
      <c r="F375" s="4">
        <v>45828</v>
      </c>
      <c r="G375" s="1">
        <v>10</v>
      </c>
      <c r="H375" s="1">
        <v>525</v>
      </c>
      <c r="I375" s="1" t="s">
        <v>30</v>
      </c>
      <c r="J375" s="1" t="s">
        <v>24</v>
      </c>
      <c r="K375" s="1" t="s">
        <v>49</v>
      </c>
      <c r="L375" t="str">
        <f>TEXT(Table2[[#This Row],[Order Date]],"YYY")</f>
        <v>2025</v>
      </c>
      <c r="M375" t="str">
        <f>TEXT(Table2[[#This Row],[Order Date]],"MMM")</f>
        <v>Jun</v>
      </c>
      <c r="N375" t="str">
        <f>TEXT(Table2[[#This Row],[Order Date]],"DDD")</f>
        <v>Fri</v>
      </c>
      <c r="O375">
        <f>DATEDIF(Table2[[#This Row],[Order Date]],Table2[[#This Row],[Delivered Date]],"D")</f>
        <v>7</v>
      </c>
      <c r="P375" s="10">
        <f>ROUND(Table2[[#This Row],[Quantity]]*Table2[[#This Row],[Unit Price]]*VLOOKUP(Table2[[#This Row],[Product Name]],Table_1[#All],2,FALSE),0)</f>
        <v>3150</v>
      </c>
      <c r="Q375" s="10">
        <f>Table2[[#This Row],[Quantity]]*Table2[[#This Row],[Unit Price]]</f>
        <v>5250</v>
      </c>
      <c r="R375" s="10">
        <f>Table2[[#This Row],[Sales Revenue]]-Table2[[#This Row],[Total Cost After Product Percentage Calc]]</f>
        <v>2100</v>
      </c>
    </row>
    <row r="376" spans="1:18" ht="14.25" customHeight="1" x14ac:dyDescent="0.3">
      <c r="A376" s="1">
        <v>375</v>
      </c>
      <c r="B376" s="1" t="s">
        <v>427</v>
      </c>
      <c r="C376" s="1" t="s">
        <v>22</v>
      </c>
      <c r="D376" s="1" t="s">
        <v>58</v>
      </c>
      <c r="E376" s="2">
        <v>45704</v>
      </c>
      <c r="F376" s="4">
        <v>45710</v>
      </c>
      <c r="G376" s="1">
        <v>6</v>
      </c>
      <c r="H376" s="1">
        <v>678</v>
      </c>
      <c r="I376" s="1" t="s">
        <v>30</v>
      </c>
      <c r="J376" s="1" t="s">
        <v>15</v>
      </c>
      <c r="K376" s="1" t="s">
        <v>49</v>
      </c>
      <c r="L376" t="str">
        <f>TEXT(Table2[[#This Row],[Order Date]],"YYY")</f>
        <v>2025</v>
      </c>
      <c r="M376" t="str">
        <f>TEXT(Table2[[#This Row],[Order Date]],"MMM")</f>
        <v>Feb</v>
      </c>
      <c r="N376" t="str">
        <f>TEXT(Table2[[#This Row],[Order Date]],"DDD")</f>
        <v>Sun</v>
      </c>
      <c r="O376">
        <f>DATEDIF(Table2[[#This Row],[Order Date]],Table2[[#This Row],[Delivered Date]],"D")</f>
        <v>6</v>
      </c>
      <c r="P376" s="10">
        <f>ROUND(Table2[[#This Row],[Quantity]]*Table2[[#This Row],[Unit Price]]*VLOOKUP(Table2[[#This Row],[Product Name]],Table_1[#All],2,FALSE),0)</f>
        <v>2848</v>
      </c>
      <c r="Q376" s="10">
        <f>Table2[[#This Row],[Quantity]]*Table2[[#This Row],[Unit Price]]</f>
        <v>4068</v>
      </c>
      <c r="R376" s="10">
        <f>Table2[[#This Row],[Sales Revenue]]-Table2[[#This Row],[Total Cost After Product Percentage Calc]]</f>
        <v>1220</v>
      </c>
    </row>
    <row r="377" spans="1:18" ht="14.25" customHeight="1" x14ac:dyDescent="0.3">
      <c r="A377" s="1">
        <v>376</v>
      </c>
      <c r="B377" s="1" t="s">
        <v>428</v>
      </c>
      <c r="C377" s="1" t="s">
        <v>22</v>
      </c>
      <c r="D377" s="1" t="s">
        <v>58</v>
      </c>
      <c r="E377" s="2">
        <v>45905</v>
      </c>
      <c r="F377" s="4">
        <v>45907</v>
      </c>
      <c r="G377" s="1">
        <v>6</v>
      </c>
      <c r="H377" s="1">
        <v>117</v>
      </c>
      <c r="I377" s="1" t="s">
        <v>14</v>
      </c>
      <c r="J377" s="1" t="s">
        <v>52</v>
      </c>
      <c r="K377" s="1" t="s">
        <v>16</v>
      </c>
      <c r="L377" t="str">
        <f>TEXT(Table2[[#This Row],[Order Date]],"YYY")</f>
        <v>2025</v>
      </c>
      <c r="M377" t="str">
        <f>TEXT(Table2[[#This Row],[Order Date]],"MMM")</f>
        <v>Sep</v>
      </c>
      <c r="N377" t="str">
        <f>TEXT(Table2[[#This Row],[Order Date]],"DDD")</f>
        <v>Fri</v>
      </c>
      <c r="O377">
        <f>DATEDIF(Table2[[#This Row],[Order Date]],Table2[[#This Row],[Delivered Date]],"D")</f>
        <v>2</v>
      </c>
      <c r="P377" s="10">
        <f>ROUND(Table2[[#This Row],[Quantity]]*Table2[[#This Row],[Unit Price]]*VLOOKUP(Table2[[#This Row],[Product Name]],Table_1[#All],2,FALSE),0)</f>
        <v>491</v>
      </c>
      <c r="Q377" s="10">
        <f>Table2[[#This Row],[Quantity]]*Table2[[#This Row],[Unit Price]]</f>
        <v>702</v>
      </c>
      <c r="R377" s="10">
        <f>Table2[[#This Row],[Sales Revenue]]-Table2[[#This Row],[Total Cost After Product Percentage Calc]]</f>
        <v>211</v>
      </c>
    </row>
    <row r="378" spans="1:18" ht="14.25" customHeight="1" x14ac:dyDescent="0.3">
      <c r="A378" s="1">
        <v>377</v>
      </c>
      <c r="B378" s="1" t="s">
        <v>429</v>
      </c>
      <c r="C378" s="1" t="s">
        <v>22</v>
      </c>
      <c r="D378" s="1" t="s">
        <v>58</v>
      </c>
      <c r="E378" s="2">
        <v>45701</v>
      </c>
      <c r="F378" s="4">
        <v>45715</v>
      </c>
      <c r="G378" s="1">
        <v>3</v>
      </c>
      <c r="H378" s="1">
        <v>262</v>
      </c>
      <c r="I378" s="1" t="s">
        <v>30</v>
      </c>
      <c r="J378" s="1" t="s">
        <v>31</v>
      </c>
      <c r="K378" s="1" t="s">
        <v>20</v>
      </c>
      <c r="L378" t="str">
        <f>TEXT(Table2[[#This Row],[Order Date]],"YYY")</f>
        <v>2025</v>
      </c>
      <c r="M378" t="str">
        <f>TEXT(Table2[[#This Row],[Order Date]],"MMM")</f>
        <v>Feb</v>
      </c>
      <c r="N378" t="str">
        <f>TEXT(Table2[[#This Row],[Order Date]],"DDD")</f>
        <v>Thu</v>
      </c>
      <c r="O378">
        <f>DATEDIF(Table2[[#This Row],[Order Date]],Table2[[#This Row],[Delivered Date]],"D")</f>
        <v>14</v>
      </c>
      <c r="P378" s="10">
        <f>ROUND(Table2[[#This Row],[Quantity]]*Table2[[#This Row],[Unit Price]]*VLOOKUP(Table2[[#This Row],[Product Name]],Table_1[#All],2,FALSE),0)</f>
        <v>550</v>
      </c>
      <c r="Q378" s="10">
        <f>Table2[[#This Row],[Quantity]]*Table2[[#This Row],[Unit Price]]</f>
        <v>786</v>
      </c>
      <c r="R378" s="10">
        <f>Table2[[#This Row],[Sales Revenue]]-Table2[[#This Row],[Total Cost After Product Percentage Calc]]</f>
        <v>236</v>
      </c>
    </row>
    <row r="379" spans="1:18" ht="14.25" customHeight="1" x14ac:dyDescent="0.3">
      <c r="A379" s="1">
        <v>378</v>
      </c>
      <c r="B379" s="1" t="s">
        <v>430</v>
      </c>
      <c r="C379" s="1" t="s">
        <v>26</v>
      </c>
      <c r="D379" s="1" t="s">
        <v>74</v>
      </c>
      <c r="E379" s="2">
        <v>45848</v>
      </c>
      <c r="F379" s="4">
        <v>45856</v>
      </c>
      <c r="G379" s="1">
        <v>8</v>
      </c>
      <c r="H379" s="1">
        <v>360</v>
      </c>
      <c r="I379" s="1" t="s">
        <v>30</v>
      </c>
      <c r="J379" s="1" t="s">
        <v>31</v>
      </c>
      <c r="K379" s="1" t="s">
        <v>32</v>
      </c>
      <c r="L379" t="str">
        <f>TEXT(Table2[[#This Row],[Order Date]],"YYY")</f>
        <v>2025</v>
      </c>
      <c r="M379" t="str">
        <f>TEXT(Table2[[#This Row],[Order Date]],"MMM")</f>
        <v>Jul</v>
      </c>
      <c r="N379" t="str">
        <f>TEXT(Table2[[#This Row],[Order Date]],"DDD")</f>
        <v>Thu</v>
      </c>
      <c r="O379">
        <f>DATEDIF(Table2[[#This Row],[Order Date]],Table2[[#This Row],[Delivered Date]],"D")</f>
        <v>8</v>
      </c>
      <c r="P379" s="10">
        <f>ROUND(Table2[[#This Row],[Quantity]]*Table2[[#This Row],[Unit Price]]*VLOOKUP(Table2[[#This Row],[Product Name]],Table_1[#All],2,FALSE),0)</f>
        <v>1584</v>
      </c>
      <c r="Q379" s="10">
        <f>Table2[[#This Row],[Quantity]]*Table2[[#This Row],[Unit Price]]</f>
        <v>2880</v>
      </c>
      <c r="R379" s="10">
        <f>Table2[[#This Row],[Sales Revenue]]-Table2[[#This Row],[Total Cost After Product Percentage Calc]]</f>
        <v>1296</v>
      </c>
    </row>
    <row r="380" spans="1:18" ht="14.25" customHeight="1" x14ac:dyDescent="0.3">
      <c r="A380" s="1">
        <v>379</v>
      </c>
      <c r="B380" s="1" t="s">
        <v>431</v>
      </c>
      <c r="C380" s="1" t="s">
        <v>26</v>
      </c>
      <c r="D380" s="1" t="s">
        <v>41</v>
      </c>
      <c r="E380" s="2">
        <v>45952</v>
      </c>
      <c r="F380" s="4">
        <v>45953</v>
      </c>
      <c r="G380" s="1">
        <v>10</v>
      </c>
      <c r="H380" s="1">
        <v>279</v>
      </c>
      <c r="I380" s="1" t="s">
        <v>14</v>
      </c>
      <c r="J380" s="1" t="s">
        <v>24</v>
      </c>
      <c r="K380" s="1" t="s">
        <v>49</v>
      </c>
      <c r="L380" t="str">
        <f>TEXT(Table2[[#This Row],[Order Date]],"YYY")</f>
        <v>2025</v>
      </c>
      <c r="M380" t="str">
        <f>TEXT(Table2[[#This Row],[Order Date]],"MMM")</f>
        <v>Oct</v>
      </c>
      <c r="N380" t="str">
        <f>TEXT(Table2[[#This Row],[Order Date]],"DDD")</f>
        <v>Wed</v>
      </c>
      <c r="O380">
        <f>DATEDIF(Table2[[#This Row],[Order Date]],Table2[[#This Row],[Delivered Date]],"D")</f>
        <v>1</v>
      </c>
      <c r="P380" s="10">
        <f>ROUND(Table2[[#This Row],[Quantity]]*Table2[[#This Row],[Unit Price]]*VLOOKUP(Table2[[#This Row],[Product Name]],Table_1[#All],2,FALSE),0)</f>
        <v>1395</v>
      </c>
      <c r="Q380" s="10">
        <f>Table2[[#This Row],[Quantity]]*Table2[[#This Row],[Unit Price]]</f>
        <v>2790</v>
      </c>
      <c r="R380" s="10">
        <f>Table2[[#This Row],[Sales Revenue]]-Table2[[#This Row],[Total Cost After Product Percentage Calc]]</f>
        <v>1395</v>
      </c>
    </row>
    <row r="381" spans="1:18" ht="14.25" customHeight="1" x14ac:dyDescent="0.3">
      <c r="A381" s="1">
        <v>380</v>
      </c>
      <c r="B381" s="1" t="s">
        <v>432</v>
      </c>
      <c r="C381" s="1" t="s">
        <v>18</v>
      </c>
      <c r="D381" s="1" t="s">
        <v>68</v>
      </c>
      <c r="E381" s="2">
        <v>45675</v>
      </c>
      <c r="F381" s="4">
        <v>45678</v>
      </c>
      <c r="G381" s="1">
        <v>4</v>
      </c>
      <c r="H381" s="1">
        <v>801</v>
      </c>
      <c r="I381" s="1" t="s">
        <v>14</v>
      </c>
      <c r="J381" s="1" t="s">
        <v>31</v>
      </c>
      <c r="K381" s="1" t="s">
        <v>16</v>
      </c>
      <c r="L381" t="str">
        <f>TEXT(Table2[[#This Row],[Order Date]],"YYY")</f>
        <v>2025</v>
      </c>
      <c r="M381" t="str">
        <f>TEXT(Table2[[#This Row],[Order Date]],"MMM")</f>
        <v>Jan</v>
      </c>
      <c r="N381" t="str">
        <f>TEXT(Table2[[#This Row],[Order Date]],"DDD")</f>
        <v>Sat</v>
      </c>
      <c r="O381">
        <f>DATEDIF(Table2[[#This Row],[Order Date]],Table2[[#This Row],[Delivered Date]],"D")</f>
        <v>3</v>
      </c>
      <c r="P381" s="10">
        <f>ROUND(Table2[[#This Row],[Quantity]]*Table2[[#This Row],[Unit Price]]*VLOOKUP(Table2[[#This Row],[Product Name]],Table_1[#All],2,FALSE),0)</f>
        <v>1602</v>
      </c>
      <c r="Q381" s="10">
        <f>Table2[[#This Row],[Quantity]]*Table2[[#This Row],[Unit Price]]</f>
        <v>3204</v>
      </c>
      <c r="R381" s="10">
        <f>Table2[[#This Row],[Sales Revenue]]-Table2[[#This Row],[Total Cost After Product Percentage Calc]]</f>
        <v>1602</v>
      </c>
    </row>
    <row r="382" spans="1:18" ht="14.25" customHeight="1" x14ac:dyDescent="0.3">
      <c r="A382" s="1">
        <v>381</v>
      </c>
      <c r="B382" s="1" t="s">
        <v>433</v>
      </c>
      <c r="C382" s="1" t="s">
        <v>34</v>
      </c>
      <c r="D382" s="1" t="s">
        <v>80</v>
      </c>
      <c r="E382" s="2">
        <v>45989</v>
      </c>
      <c r="F382" s="4">
        <v>45993</v>
      </c>
      <c r="G382" s="1">
        <v>4</v>
      </c>
      <c r="H382" s="1">
        <v>346</v>
      </c>
      <c r="I382" s="1" t="s">
        <v>30</v>
      </c>
      <c r="J382" s="1" t="s">
        <v>15</v>
      </c>
      <c r="K382" s="1" t="s">
        <v>32</v>
      </c>
      <c r="L382" t="str">
        <f>TEXT(Table2[[#This Row],[Order Date]],"YYY")</f>
        <v>2025</v>
      </c>
      <c r="M382" t="str">
        <f>TEXT(Table2[[#This Row],[Order Date]],"MMM")</f>
        <v>Nov</v>
      </c>
      <c r="N382" t="str">
        <f>TEXT(Table2[[#This Row],[Order Date]],"DDD")</f>
        <v>Fri</v>
      </c>
      <c r="O382">
        <f>DATEDIF(Table2[[#This Row],[Order Date]],Table2[[#This Row],[Delivered Date]],"D")</f>
        <v>4</v>
      </c>
      <c r="P382" s="10">
        <f>ROUND(Table2[[#This Row],[Quantity]]*Table2[[#This Row],[Unit Price]]*VLOOKUP(Table2[[#This Row],[Product Name]],Table_1[#All],2,FALSE),0)</f>
        <v>1038</v>
      </c>
      <c r="Q382" s="10">
        <f>Table2[[#This Row],[Quantity]]*Table2[[#This Row],[Unit Price]]</f>
        <v>1384</v>
      </c>
      <c r="R382" s="10">
        <f>Table2[[#This Row],[Sales Revenue]]-Table2[[#This Row],[Total Cost After Product Percentage Calc]]</f>
        <v>346</v>
      </c>
    </row>
    <row r="383" spans="1:18" ht="14.25" customHeight="1" x14ac:dyDescent="0.3">
      <c r="A383" s="1">
        <v>382</v>
      </c>
      <c r="B383" s="1" t="s">
        <v>434</v>
      </c>
      <c r="C383" s="1" t="s">
        <v>22</v>
      </c>
      <c r="D383" s="1" t="s">
        <v>58</v>
      </c>
      <c r="E383" s="2">
        <v>45695</v>
      </c>
      <c r="F383" s="4">
        <v>45706</v>
      </c>
      <c r="G383" s="1">
        <v>5</v>
      </c>
      <c r="H383" s="1">
        <v>215</v>
      </c>
      <c r="I383" s="1" t="s">
        <v>30</v>
      </c>
      <c r="J383" s="1" t="s">
        <v>36</v>
      </c>
      <c r="K383" s="1" t="s">
        <v>20</v>
      </c>
      <c r="L383" t="str">
        <f>TEXT(Table2[[#This Row],[Order Date]],"YYY")</f>
        <v>2025</v>
      </c>
      <c r="M383" t="str">
        <f>TEXT(Table2[[#This Row],[Order Date]],"MMM")</f>
        <v>Feb</v>
      </c>
      <c r="N383" t="str">
        <f>TEXT(Table2[[#This Row],[Order Date]],"DDD")</f>
        <v>Fri</v>
      </c>
      <c r="O383">
        <f>DATEDIF(Table2[[#This Row],[Order Date]],Table2[[#This Row],[Delivered Date]],"D")</f>
        <v>11</v>
      </c>
      <c r="P383" s="10">
        <f>ROUND(Table2[[#This Row],[Quantity]]*Table2[[#This Row],[Unit Price]]*VLOOKUP(Table2[[#This Row],[Product Name]],Table_1[#All],2,FALSE),0)</f>
        <v>753</v>
      </c>
      <c r="Q383" s="10">
        <f>Table2[[#This Row],[Quantity]]*Table2[[#This Row],[Unit Price]]</f>
        <v>1075</v>
      </c>
      <c r="R383" s="10">
        <f>Table2[[#This Row],[Sales Revenue]]-Table2[[#This Row],[Total Cost After Product Percentage Calc]]</f>
        <v>322</v>
      </c>
    </row>
    <row r="384" spans="1:18" ht="14.25" customHeight="1" x14ac:dyDescent="0.3">
      <c r="A384" s="1">
        <v>383</v>
      </c>
      <c r="B384" s="1" t="s">
        <v>435</v>
      </c>
      <c r="C384" s="1" t="s">
        <v>12</v>
      </c>
      <c r="D384" s="1" t="s">
        <v>62</v>
      </c>
      <c r="E384" s="2">
        <v>45764</v>
      </c>
      <c r="F384" s="4">
        <v>45769</v>
      </c>
      <c r="G384" s="1">
        <v>9</v>
      </c>
      <c r="H384" s="1">
        <v>860</v>
      </c>
      <c r="I384" s="1" t="s">
        <v>14</v>
      </c>
      <c r="J384" s="1" t="s">
        <v>52</v>
      </c>
      <c r="K384" s="1" t="s">
        <v>49</v>
      </c>
      <c r="L384" t="str">
        <f>TEXT(Table2[[#This Row],[Order Date]],"YYY")</f>
        <v>2025</v>
      </c>
      <c r="M384" t="str">
        <f>TEXT(Table2[[#This Row],[Order Date]],"MMM")</f>
        <v>Apr</v>
      </c>
      <c r="N384" t="str">
        <f>TEXT(Table2[[#This Row],[Order Date]],"DDD")</f>
        <v>Thu</v>
      </c>
      <c r="O384">
        <f>DATEDIF(Table2[[#This Row],[Order Date]],Table2[[#This Row],[Delivered Date]],"D")</f>
        <v>5</v>
      </c>
      <c r="P384" s="10">
        <f>ROUND(Table2[[#This Row],[Quantity]]*Table2[[#This Row],[Unit Price]]*VLOOKUP(Table2[[#This Row],[Product Name]],Table_1[#All],2,FALSE),0)</f>
        <v>6579</v>
      </c>
      <c r="Q384" s="10">
        <f>Table2[[#This Row],[Quantity]]*Table2[[#This Row],[Unit Price]]</f>
        <v>7740</v>
      </c>
      <c r="R384" s="10">
        <f>Table2[[#This Row],[Sales Revenue]]-Table2[[#This Row],[Total Cost After Product Percentage Calc]]</f>
        <v>1161</v>
      </c>
    </row>
    <row r="385" spans="1:18" ht="14.25" customHeight="1" x14ac:dyDescent="0.3">
      <c r="A385" s="1">
        <v>384</v>
      </c>
      <c r="B385" s="1" t="s">
        <v>436</v>
      </c>
      <c r="C385" s="1" t="s">
        <v>22</v>
      </c>
      <c r="D385" s="1" t="s">
        <v>23</v>
      </c>
      <c r="E385" s="2">
        <v>45695</v>
      </c>
      <c r="F385" s="4">
        <v>45704</v>
      </c>
      <c r="G385" s="1">
        <v>2</v>
      </c>
      <c r="H385" s="1">
        <v>461</v>
      </c>
      <c r="I385" s="1" t="s">
        <v>30</v>
      </c>
      <c r="J385" s="1" t="s">
        <v>24</v>
      </c>
      <c r="K385" s="1" t="s">
        <v>20</v>
      </c>
      <c r="L385" t="str">
        <f>TEXT(Table2[[#This Row],[Order Date]],"YYY")</f>
        <v>2025</v>
      </c>
      <c r="M385" t="str">
        <f>TEXT(Table2[[#This Row],[Order Date]],"MMM")</f>
        <v>Feb</v>
      </c>
      <c r="N385" t="str">
        <f>TEXT(Table2[[#This Row],[Order Date]],"DDD")</f>
        <v>Fri</v>
      </c>
      <c r="O385">
        <f>DATEDIF(Table2[[#This Row],[Order Date]],Table2[[#This Row],[Delivered Date]],"D")</f>
        <v>9</v>
      </c>
      <c r="P385" s="10">
        <f>ROUND(Table2[[#This Row],[Quantity]]*Table2[[#This Row],[Unit Price]]*VLOOKUP(Table2[[#This Row],[Product Name]],Table_1[#All],2,FALSE),0)</f>
        <v>692</v>
      </c>
      <c r="Q385" s="10">
        <f>Table2[[#This Row],[Quantity]]*Table2[[#This Row],[Unit Price]]</f>
        <v>922</v>
      </c>
      <c r="R385" s="10">
        <f>Table2[[#This Row],[Sales Revenue]]-Table2[[#This Row],[Total Cost After Product Percentage Calc]]</f>
        <v>230</v>
      </c>
    </row>
    <row r="386" spans="1:18" ht="14.25" customHeight="1" x14ac:dyDescent="0.3">
      <c r="A386" s="1">
        <v>385</v>
      </c>
      <c r="B386" s="1" t="s">
        <v>437</v>
      </c>
      <c r="C386" s="1" t="s">
        <v>26</v>
      </c>
      <c r="D386" s="1" t="s">
        <v>27</v>
      </c>
      <c r="E386" s="2">
        <v>45988</v>
      </c>
      <c r="F386" s="4">
        <v>45997</v>
      </c>
      <c r="G386" s="1">
        <v>7</v>
      </c>
      <c r="H386" s="1">
        <v>579</v>
      </c>
      <c r="I386" s="1" t="s">
        <v>14</v>
      </c>
      <c r="J386" s="1" t="s">
        <v>15</v>
      </c>
      <c r="K386" s="1" t="s">
        <v>49</v>
      </c>
      <c r="L386" t="str">
        <f>TEXT(Table2[[#This Row],[Order Date]],"YYY")</f>
        <v>2025</v>
      </c>
      <c r="M386" t="str">
        <f>TEXT(Table2[[#This Row],[Order Date]],"MMM")</f>
        <v>Nov</v>
      </c>
      <c r="N386" t="str">
        <f>TEXT(Table2[[#This Row],[Order Date]],"DDD")</f>
        <v>Thu</v>
      </c>
      <c r="O386">
        <f>DATEDIF(Table2[[#This Row],[Order Date]],Table2[[#This Row],[Delivered Date]],"D")</f>
        <v>9</v>
      </c>
      <c r="P386" s="10">
        <f>ROUND(Table2[[#This Row],[Quantity]]*Table2[[#This Row],[Unit Price]]*VLOOKUP(Table2[[#This Row],[Product Name]],Table_1[#All],2,FALSE),0)</f>
        <v>2229</v>
      </c>
      <c r="Q386" s="10">
        <f>Table2[[#This Row],[Quantity]]*Table2[[#This Row],[Unit Price]]</f>
        <v>4053</v>
      </c>
      <c r="R386" s="10">
        <f>Table2[[#This Row],[Sales Revenue]]-Table2[[#This Row],[Total Cost After Product Percentage Calc]]</f>
        <v>1824</v>
      </c>
    </row>
    <row r="387" spans="1:18" ht="14.25" customHeight="1" x14ac:dyDescent="0.3">
      <c r="A387" s="1">
        <v>386</v>
      </c>
      <c r="B387" s="1" t="s">
        <v>438</v>
      </c>
      <c r="C387" s="1" t="s">
        <v>12</v>
      </c>
      <c r="D387" s="1" t="s">
        <v>13</v>
      </c>
      <c r="E387" s="2">
        <v>45949</v>
      </c>
      <c r="F387" s="4">
        <v>45953</v>
      </c>
      <c r="G387" s="1">
        <v>3</v>
      </c>
      <c r="H387" s="1">
        <v>982</v>
      </c>
      <c r="I387" s="1" t="s">
        <v>30</v>
      </c>
      <c r="J387" s="1" t="s">
        <v>15</v>
      </c>
      <c r="K387" s="1" t="s">
        <v>49</v>
      </c>
      <c r="L387" t="str">
        <f>TEXT(Table2[[#This Row],[Order Date]],"YYY")</f>
        <v>2025</v>
      </c>
      <c r="M387" t="str">
        <f>TEXT(Table2[[#This Row],[Order Date]],"MMM")</f>
        <v>Oct</v>
      </c>
      <c r="N387" t="str">
        <f>TEXT(Table2[[#This Row],[Order Date]],"DDD")</f>
        <v>Sun</v>
      </c>
      <c r="O387">
        <f>DATEDIF(Table2[[#This Row],[Order Date]],Table2[[#This Row],[Delivered Date]],"D")</f>
        <v>4</v>
      </c>
      <c r="P387" s="10">
        <f>ROUND(Table2[[#This Row],[Quantity]]*Table2[[#This Row],[Unit Price]]*VLOOKUP(Table2[[#This Row],[Product Name]],Table_1[#All],2,FALSE),0)</f>
        <v>2210</v>
      </c>
      <c r="Q387" s="10">
        <f>Table2[[#This Row],[Quantity]]*Table2[[#This Row],[Unit Price]]</f>
        <v>2946</v>
      </c>
      <c r="R387" s="10">
        <f>Table2[[#This Row],[Sales Revenue]]-Table2[[#This Row],[Total Cost After Product Percentage Calc]]</f>
        <v>736</v>
      </c>
    </row>
    <row r="388" spans="1:18" ht="14.25" customHeight="1" x14ac:dyDescent="0.3">
      <c r="A388" s="1">
        <v>387</v>
      </c>
      <c r="B388" s="1" t="s">
        <v>439</v>
      </c>
      <c r="C388" s="1" t="s">
        <v>26</v>
      </c>
      <c r="D388" s="1" t="s">
        <v>74</v>
      </c>
      <c r="E388" s="2">
        <v>45842</v>
      </c>
      <c r="F388" s="4">
        <v>45849</v>
      </c>
      <c r="G388" s="1">
        <v>2</v>
      </c>
      <c r="H388" s="1">
        <v>969</v>
      </c>
      <c r="I388" s="1" t="s">
        <v>14</v>
      </c>
      <c r="J388" s="1" t="s">
        <v>36</v>
      </c>
      <c r="K388" s="1" t="s">
        <v>49</v>
      </c>
      <c r="L388" t="str">
        <f>TEXT(Table2[[#This Row],[Order Date]],"YYY")</f>
        <v>2025</v>
      </c>
      <c r="M388" t="str">
        <f>TEXT(Table2[[#This Row],[Order Date]],"MMM")</f>
        <v>Jul</v>
      </c>
      <c r="N388" t="str">
        <f>TEXT(Table2[[#This Row],[Order Date]],"DDD")</f>
        <v>Fri</v>
      </c>
      <c r="O388">
        <f>DATEDIF(Table2[[#This Row],[Order Date]],Table2[[#This Row],[Delivered Date]],"D")</f>
        <v>7</v>
      </c>
      <c r="P388" s="10">
        <f>ROUND(Table2[[#This Row],[Quantity]]*Table2[[#This Row],[Unit Price]]*VLOOKUP(Table2[[#This Row],[Product Name]],Table_1[#All],2,FALSE),0)</f>
        <v>1066</v>
      </c>
      <c r="Q388" s="10">
        <f>Table2[[#This Row],[Quantity]]*Table2[[#This Row],[Unit Price]]</f>
        <v>1938</v>
      </c>
      <c r="R388" s="10">
        <f>Table2[[#This Row],[Sales Revenue]]-Table2[[#This Row],[Total Cost After Product Percentage Calc]]</f>
        <v>872</v>
      </c>
    </row>
    <row r="389" spans="1:18" ht="14.25" customHeight="1" x14ac:dyDescent="0.3">
      <c r="A389" s="1">
        <v>388</v>
      </c>
      <c r="B389" s="1" t="s">
        <v>440</v>
      </c>
      <c r="C389" s="1" t="s">
        <v>18</v>
      </c>
      <c r="D389" s="1" t="s">
        <v>19</v>
      </c>
      <c r="E389" s="2">
        <v>45679</v>
      </c>
      <c r="F389" s="4">
        <v>45686</v>
      </c>
      <c r="G389" s="1">
        <v>6</v>
      </c>
      <c r="H389" s="1">
        <v>563</v>
      </c>
      <c r="I389" s="1" t="s">
        <v>14</v>
      </c>
      <c r="J389" s="1" t="s">
        <v>15</v>
      </c>
      <c r="K389" s="1" t="s">
        <v>49</v>
      </c>
      <c r="L389" t="str">
        <f>TEXT(Table2[[#This Row],[Order Date]],"YYY")</f>
        <v>2025</v>
      </c>
      <c r="M389" t="str">
        <f>TEXT(Table2[[#This Row],[Order Date]],"MMM")</f>
        <v>Jan</v>
      </c>
      <c r="N389" t="str">
        <f>TEXT(Table2[[#This Row],[Order Date]],"DDD")</f>
        <v>Wed</v>
      </c>
      <c r="O389">
        <f>DATEDIF(Table2[[#This Row],[Order Date]],Table2[[#This Row],[Delivered Date]],"D")</f>
        <v>7</v>
      </c>
      <c r="P389" s="10">
        <f>ROUND(Table2[[#This Row],[Quantity]]*Table2[[#This Row],[Unit Price]]*VLOOKUP(Table2[[#This Row],[Product Name]],Table_1[#All],2,FALSE),0)</f>
        <v>1689</v>
      </c>
      <c r="Q389" s="10">
        <f>Table2[[#This Row],[Quantity]]*Table2[[#This Row],[Unit Price]]</f>
        <v>3378</v>
      </c>
      <c r="R389" s="10">
        <f>Table2[[#This Row],[Sales Revenue]]-Table2[[#This Row],[Total Cost After Product Percentage Calc]]</f>
        <v>1689</v>
      </c>
    </row>
    <row r="390" spans="1:18" ht="14.25" customHeight="1" x14ac:dyDescent="0.3">
      <c r="A390" s="1">
        <v>389</v>
      </c>
      <c r="B390" s="1" t="s">
        <v>441</v>
      </c>
      <c r="C390" s="1" t="s">
        <v>22</v>
      </c>
      <c r="D390" s="1" t="s">
        <v>58</v>
      </c>
      <c r="E390" s="2">
        <v>45881</v>
      </c>
      <c r="F390" s="4">
        <v>45891</v>
      </c>
      <c r="G390" s="1">
        <v>7</v>
      </c>
      <c r="H390" s="1">
        <v>894</v>
      </c>
      <c r="I390" s="1" t="s">
        <v>14</v>
      </c>
      <c r="J390" s="1" t="s">
        <v>31</v>
      </c>
      <c r="K390" s="1" t="s">
        <v>16</v>
      </c>
      <c r="L390" t="str">
        <f>TEXT(Table2[[#This Row],[Order Date]],"YYY")</f>
        <v>2025</v>
      </c>
      <c r="M390" t="str">
        <f>TEXT(Table2[[#This Row],[Order Date]],"MMM")</f>
        <v>Aug</v>
      </c>
      <c r="N390" t="str">
        <f>TEXT(Table2[[#This Row],[Order Date]],"DDD")</f>
        <v>Tue</v>
      </c>
      <c r="O390">
        <f>DATEDIF(Table2[[#This Row],[Order Date]],Table2[[#This Row],[Delivered Date]],"D")</f>
        <v>10</v>
      </c>
      <c r="P390" s="10">
        <f>ROUND(Table2[[#This Row],[Quantity]]*Table2[[#This Row],[Unit Price]]*VLOOKUP(Table2[[#This Row],[Product Name]],Table_1[#All],2,FALSE),0)</f>
        <v>4381</v>
      </c>
      <c r="Q390" s="10">
        <f>Table2[[#This Row],[Quantity]]*Table2[[#This Row],[Unit Price]]</f>
        <v>6258</v>
      </c>
      <c r="R390" s="10">
        <f>Table2[[#This Row],[Sales Revenue]]-Table2[[#This Row],[Total Cost After Product Percentage Calc]]</f>
        <v>1877</v>
      </c>
    </row>
    <row r="391" spans="1:18" ht="14.25" customHeight="1" x14ac:dyDescent="0.3">
      <c r="A391" s="1">
        <v>390</v>
      </c>
      <c r="B391" s="1" t="s">
        <v>442</v>
      </c>
      <c r="C391" s="1" t="s">
        <v>34</v>
      </c>
      <c r="D391" s="1" t="s">
        <v>80</v>
      </c>
      <c r="E391" s="2">
        <v>45881</v>
      </c>
      <c r="F391" s="4">
        <v>45882</v>
      </c>
      <c r="G391" s="1">
        <v>8</v>
      </c>
      <c r="H391" s="1">
        <v>177</v>
      </c>
      <c r="I391" s="1" t="s">
        <v>14</v>
      </c>
      <c r="J391" s="1" t="s">
        <v>15</v>
      </c>
      <c r="K391" s="1" t="s">
        <v>16</v>
      </c>
      <c r="L391" t="str">
        <f>TEXT(Table2[[#This Row],[Order Date]],"YYY")</f>
        <v>2025</v>
      </c>
      <c r="M391" t="str">
        <f>TEXT(Table2[[#This Row],[Order Date]],"MMM")</f>
        <v>Aug</v>
      </c>
      <c r="N391" t="str">
        <f>TEXT(Table2[[#This Row],[Order Date]],"DDD")</f>
        <v>Tue</v>
      </c>
      <c r="O391">
        <f>DATEDIF(Table2[[#This Row],[Order Date]],Table2[[#This Row],[Delivered Date]],"D")</f>
        <v>1</v>
      </c>
      <c r="P391" s="10">
        <f>ROUND(Table2[[#This Row],[Quantity]]*Table2[[#This Row],[Unit Price]]*VLOOKUP(Table2[[#This Row],[Product Name]],Table_1[#All],2,FALSE),0)</f>
        <v>1062</v>
      </c>
      <c r="Q391" s="10">
        <f>Table2[[#This Row],[Quantity]]*Table2[[#This Row],[Unit Price]]</f>
        <v>1416</v>
      </c>
      <c r="R391" s="10">
        <f>Table2[[#This Row],[Sales Revenue]]-Table2[[#This Row],[Total Cost After Product Percentage Calc]]</f>
        <v>354</v>
      </c>
    </row>
    <row r="392" spans="1:18" ht="14.25" customHeight="1" x14ac:dyDescent="0.3">
      <c r="A392" s="1">
        <v>391</v>
      </c>
      <c r="B392" s="1" t="s">
        <v>443</v>
      </c>
      <c r="C392" s="1" t="s">
        <v>18</v>
      </c>
      <c r="D392" s="1" t="s">
        <v>47</v>
      </c>
      <c r="E392" s="2">
        <v>46019</v>
      </c>
      <c r="F392" s="4">
        <v>46021</v>
      </c>
      <c r="G392" s="1">
        <v>9</v>
      </c>
      <c r="H392" s="1">
        <v>455</v>
      </c>
      <c r="I392" s="1" t="s">
        <v>14</v>
      </c>
      <c r="J392" s="1" t="s">
        <v>52</v>
      </c>
      <c r="K392" s="1" t="s">
        <v>32</v>
      </c>
      <c r="L392" t="str">
        <f>TEXT(Table2[[#This Row],[Order Date]],"YYY")</f>
        <v>2025</v>
      </c>
      <c r="M392" t="str">
        <f>TEXT(Table2[[#This Row],[Order Date]],"MMM")</f>
        <v>Dec</v>
      </c>
      <c r="N392" t="str">
        <f>TEXT(Table2[[#This Row],[Order Date]],"DDD")</f>
        <v>Sun</v>
      </c>
      <c r="O392">
        <f>DATEDIF(Table2[[#This Row],[Order Date]],Table2[[#This Row],[Delivered Date]],"D")</f>
        <v>2</v>
      </c>
      <c r="P392" s="10">
        <f>ROUND(Table2[[#This Row],[Quantity]]*Table2[[#This Row],[Unit Price]]*VLOOKUP(Table2[[#This Row],[Product Name]],Table_1[#All],2,FALSE),0)</f>
        <v>2457</v>
      </c>
      <c r="Q392" s="10">
        <f>Table2[[#This Row],[Quantity]]*Table2[[#This Row],[Unit Price]]</f>
        <v>4095</v>
      </c>
      <c r="R392" s="10">
        <f>Table2[[#This Row],[Sales Revenue]]-Table2[[#This Row],[Total Cost After Product Percentage Calc]]</f>
        <v>1638</v>
      </c>
    </row>
    <row r="393" spans="1:18" ht="14.25" customHeight="1" x14ac:dyDescent="0.3">
      <c r="A393" s="1">
        <v>392</v>
      </c>
      <c r="B393" s="1" t="s">
        <v>444</v>
      </c>
      <c r="C393" s="1" t="s">
        <v>22</v>
      </c>
      <c r="D393" s="1" t="s">
        <v>58</v>
      </c>
      <c r="E393" s="2">
        <v>45737</v>
      </c>
      <c r="F393" s="4">
        <v>45746</v>
      </c>
      <c r="G393" s="1">
        <v>6</v>
      </c>
      <c r="H393" s="1">
        <v>565</v>
      </c>
      <c r="I393" s="1" t="s">
        <v>14</v>
      </c>
      <c r="J393" s="1" t="s">
        <v>24</v>
      </c>
      <c r="K393" s="1" t="s">
        <v>49</v>
      </c>
      <c r="L393" t="str">
        <f>TEXT(Table2[[#This Row],[Order Date]],"YYY")</f>
        <v>2025</v>
      </c>
      <c r="M393" t="str">
        <f>TEXT(Table2[[#This Row],[Order Date]],"MMM")</f>
        <v>Mar</v>
      </c>
      <c r="N393" t="str">
        <f>TEXT(Table2[[#This Row],[Order Date]],"DDD")</f>
        <v>Fri</v>
      </c>
      <c r="O393">
        <f>DATEDIF(Table2[[#This Row],[Order Date]],Table2[[#This Row],[Delivered Date]],"D")</f>
        <v>9</v>
      </c>
      <c r="P393" s="10">
        <f>ROUND(Table2[[#This Row],[Quantity]]*Table2[[#This Row],[Unit Price]]*VLOOKUP(Table2[[#This Row],[Product Name]],Table_1[#All],2,FALSE),0)</f>
        <v>2373</v>
      </c>
      <c r="Q393" s="10">
        <f>Table2[[#This Row],[Quantity]]*Table2[[#This Row],[Unit Price]]</f>
        <v>3390</v>
      </c>
      <c r="R393" s="10">
        <f>Table2[[#This Row],[Sales Revenue]]-Table2[[#This Row],[Total Cost After Product Percentage Calc]]</f>
        <v>1017</v>
      </c>
    </row>
    <row r="394" spans="1:18" ht="14.25" customHeight="1" x14ac:dyDescent="0.3">
      <c r="A394" s="1">
        <v>393</v>
      </c>
      <c r="B394" s="1" t="s">
        <v>445</v>
      </c>
      <c r="C394" s="1" t="s">
        <v>12</v>
      </c>
      <c r="D394" s="1" t="s">
        <v>29</v>
      </c>
      <c r="E394" s="2">
        <v>45924</v>
      </c>
      <c r="F394" s="4">
        <v>45931</v>
      </c>
      <c r="G394" s="1">
        <v>3</v>
      </c>
      <c r="H394" s="1">
        <v>565</v>
      </c>
      <c r="I394" s="1" t="s">
        <v>14</v>
      </c>
      <c r="J394" s="1" t="s">
        <v>36</v>
      </c>
      <c r="K394" s="1" t="s">
        <v>16</v>
      </c>
      <c r="L394" t="str">
        <f>TEXT(Table2[[#This Row],[Order Date]],"YYY")</f>
        <v>2025</v>
      </c>
      <c r="M394" t="str">
        <f>TEXT(Table2[[#This Row],[Order Date]],"MMM")</f>
        <v>Sep</v>
      </c>
      <c r="N394" t="str">
        <f>TEXT(Table2[[#This Row],[Order Date]],"DDD")</f>
        <v>Wed</v>
      </c>
      <c r="O394">
        <f>DATEDIF(Table2[[#This Row],[Order Date]],Table2[[#This Row],[Delivered Date]],"D")</f>
        <v>7</v>
      </c>
      <c r="P394" s="10">
        <f>ROUND(Table2[[#This Row],[Quantity]]*Table2[[#This Row],[Unit Price]]*VLOOKUP(Table2[[#This Row],[Product Name]],Table_1[#All],2,FALSE),0)</f>
        <v>1102</v>
      </c>
      <c r="Q394" s="10">
        <f>Table2[[#This Row],[Quantity]]*Table2[[#This Row],[Unit Price]]</f>
        <v>1695</v>
      </c>
      <c r="R394" s="10">
        <f>Table2[[#This Row],[Sales Revenue]]-Table2[[#This Row],[Total Cost After Product Percentage Calc]]</f>
        <v>593</v>
      </c>
    </row>
    <row r="395" spans="1:18" ht="14.25" customHeight="1" x14ac:dyDescent="0.3">
      <c r="A395" s="1">
        <v>394</v>
      </c>
      <c r="B395" s="1" t="s">
        <v>446</v>
      </c>
      <c r="C395" s="1" t="s">
        <v>22</v>
      </c>
      <c r="D395" s="1" t="s">
        <v>23</v>
      </c>
      <c r="E395" s="2">
        <v>45895</v>
      </c>
      <c r="F395" s="4">
        <v>45896</v>
      </c>
      <c r="G395" s="1">
        <v>10</v>
      </c>
      <c r="H395" s="1">
        <v>572</v>
      </c>
      <c r="I395" s="1" t="s">
        <v>14</v>
      </c>
      <c r="J395" s="1" t="s">
        <v>36</v>
      </c>
      <c r="K395" s="1" t="s">
        <v>20</v>
      </c>
      <c r="L395" t="str">
        <f>TEXT(Table2[[#This Row],[Order Date]],"YYY")</f>
        <v>2025</v>
      </c>
      <c r="M395" t="str">
        <f>TEXT(Table2[[#This Row],[Order Date]],"MMM")</f>
        <v>Aug</v>
      </c>
      <c r="N395" t="str">
        <f>TEXT(Table2[[#This Row],[Order Date]],"DDD")</f>
        <v>Tue</v>
      </c>
      <c r="O395">
        <f>DATEDIF(Table2[[#This Row],[Order Date]],Table2[[#This Row],[Delivered Date]],"D")</f>
        <v>1</v>
      </c>
      <c r="P395" s="10">
        <f>ROUND(Table2[[#This Row],[Quantity]]*Table2[[#This Row],[Unit Price]]*VLOOKUP(Table2[[#This Row],[Product Name]],Table_1[#All],2,FALSE),0)</f>
        <v>4290</v>
      </c>
      <c r="Q395" s="10">
        <f>Table2[[#This Row],[Quantity]]*Table2[[#This Row],[Unit Price]]</f>
        <v>5720</v>
      </c>
      <c r="R395" s="10">
        <f>Table2[[#This Row],[Sales Revenue]]-Table2[[#This Row],[Total Cost After Product Percentage Calc]]</f>
        <v>1430</v>
      </c>
    </row>
    <row r="396" spans="1:18" ht="14.25" customHeight="1" x14ac:dyDescent="0.3">
      <c r="A396" s="1">
        <v>395</v>
      </c>
      <c r="B396" s="1" t="s">
        <v>447</v>
      </c>
      <c r="C396" s="1" t="s">
        <v>18</v>
      </c>
      <c r="D396" s="1" t="s">
        <v>47</v>
      </c>
      <c r="E396" s="2">
        <v>45718</v>
      </c>
      <c r="F396" s="4">
        <v>45725</v>
      </c>
      <c r="G396" s="1">
        <v>9</v>
      </c>
      <c r="H396" s="1">
        <v>616</v>
      </c>
      <c r="I396" s="1" t="s">
        <v>30</v>
      </c>
      <c r="J396" s="1" t="s">
        <v>24</v>
      </c>
      <c r="K396" s="1" t="s">
        <v>49</v>
      </c>
      <c r="L396" t="str">
        <f>TEXT(Table2[[#This Row],[Order Date]],"YYY")</f>
        <v>2025</v>
      </c>
      <c r="M396" t="str">
        <f>TEXT(Table2[[#This Row],[Order Date]],"MMM")</f>
        <v>Mar</v>
      </c>
      <c r="N396" t="str">
        <f>TEXT(Table2[[#This Row],[Order Date]],"DDD")</f>
        <v>Sun</v>
      </c>
      <c r="O396">
        <f>DATEDIF(Table2[[#This Row],[Order Date]],Table2[[#This Row],[Delivered Date]],"D")</f>
        <v>7</v>
      </c>
      <c r="P396" s="10">
        <f>ROUND(Table2[[#This Row],[Quantity]]*Table2[[#This Row],[Unit Price]]*VLOOKUP(Table2[[#This Row],[Product Name]],Table_1[#All],2,FALSE),0)</f>
        <v>3326</v>
      </c>
      <c r="Q396" s="10">
        <f>Table2[[#This Row],[Quantity]]*Table2[[#This Row],[Unit Price]]</f>
        <v>5544</v>
      </c>
      <c r="R396" s="10">
        <f>Table2[[#This Row],[Sales Revenue]]-Table2[[#This Row],[Total Cost After Product Percentage Calc]]</f>
        <v>2218</v>
      </c>
    </row>
    <row r="397" spans="1:18" ht="14.25" customHeight="1" x14ac:dyDescent="0.3">
      <c r="A397" s="1">
        <v>396</v>
      </c>
      <c r="B397" s="1" t="s">
        <v>448</v>
      </c>
      <c r="C397" s="1" t="s">
        <v>18</v>
      </c>
      <c r="D397" s="1" t="s">
        <v>60</v>
      </c>
      <c r="E397" s="2">
        <v>45774</v>
      </c>
      <c r="F397" s="4">
        <v>45781</v>
      </c>
      <c r="G397" s="1">
        <v>1</v>
      </c>
      <c r="H397" s="1">
        <v>692</v>
      </c>
      <c r="I397" s="1" t="s">
        <v>30</v>
      </c>
      <c r="J397" s="1" t="s">
        <v>31</v>
      </c>
      <c r="K397" s="1" t="s">
        <v>20</v>
      </c>
      <c r="L397" t="str">
        <f>TEXT(Table2[[#This Row],[Order Date]],"YYY")</f>
        <v>2025</v>
      </c>
      <c r="M397" t="str">
        <f>TEXT(Table2[[#This Row],[Order Date]],"MMM")</f>
        <v>Apr</v>
      </c>
      <c r="N397" t="str">
        <f>TEXT(Table2[[#This Row],[Order Date]],"DDD")</f>
        <v>Sun</v>
      </c>
      <c r="O397">
        <f>DATEDIF(Table2[[#This Row],[Order Date]],Table2[[#This Row],[Delivered Date]],"D")</f>
        <v>7</v>
      </c>
      <c r="P397" s="10">
        <f>ROUND(Table2[[#This Row],[Quantity]]*Table2[[#This Row],[Unit Price]]*VLOOKUP(Table2[[#This Row],[Product Name]],Table_1[#All],2,FALSE),0)</f>
        <v>381</v>
      </c>
      <c r="Q397" s="10">
        <f>Table2[[#This Row],[Quantity]]*Table2[[#This Row],[Unit Price]]</f>
        <v>692</v>
      </c>
      <c r="R397" s="10">
        <f>Table2[[#This Row],[Sales Revenue]]-Table2[[#This Row],[Total Cost After Product Percentage Calc]]</f>
        <v>311</v>
      </c>
    </row>
    <row r="398" spans="1:18" ht="14.25" customHeight="1" x14ac:dyDescent="0.3">
      <c r="A398" s="1">
        <v>397</v>
      </c>
      <c r="B398" s="1" t="s">
        <v>449</v>
      </c>
      <c r="C398" s="1" t="s">
        <v>18</v>
      </c>
      <c r="D398" s="1" t="s">
        <v>68</v>
      </c>
      <c r="E398" s="2">
        <v>45861</v>
      </c>
      <c r="F398" s="4">
        <v>45869</v>
      </c>
      <c r="G398" s="1">
        <v>6</v>
      </c>
      <c r="H398" s="1">
        <v>366</v>
      </c>
      <c r="I398" s="1" t="s">
        <v>14</v>
      </c>
      <c r="J398" s="1" t="s">
        <v>15</v>
      </c>
      <c r="K398" s="1" t="s">
        <v>49</v>
      </c>
      <c r="L398" t="str">
        <f>TEXT(Table2[[#This Row],[Order Date]],"YYY")</f>
        <v>2025</v>
      </c>
      <c r="M398" t="str">
        <f>TEXT(Table2[[#This Row],[Order Date]],"MMM")</f>
        <v>Jul</v>
      </c>
      <c r="N398" t="str">
        <f>TEXT(Table2[[#This Row],[Order Date]],"DDD")</f>
        <v>Wed</v>
      </c>
      <c r="O398">
        <f>DATEDIF(Table2[[#This Row],[Order Date]],Table2[[#This Row],[Delivered Date]],"D")</f>
        <v>8</v>
      </c>
      <c r="P398" s="10">
        <f>ROUND(Table2[[#This Row],[Quantity]]*Table2[[#This Row],[Unit Price]]*VLOOKUP(Table2[[#This Row],[Product Name]],Table_1[#All],2,FALSE),0)</f>
        <v>1098</v>
      </c>
      <c r="Q398" s="10">
        <f>Table2[[#This Row],[Quantity]]*Table2[[#This Row],[Unit Price]]</f>
        <v>2196</v>
      </c>
      <c r="R398" s="10">
        <f>Table2[[#This Row],[Sales Revenue]]-Table2[[#This Row],[Total Cost After Product Percentage Calc]]</f>
        <v>1098</v>
      </c>
    </row>
    <row r="399" spans="1:18" ht="14.25" customHeight="1" x14ac:dyDescent="0.3">
      <c r="A399" s="1">
        <v>398</v>
      </c>
      <c r="B399" s="1" t="s">
        <v>450</v>
      </c>
      <c r="C399" s="1" t="s">
        <v>18</v>
      </c>
      <c r="D399" s="1" t="s">
        <v>19</v>
      </c>
      <c r="E399" s="2">
        <v>45661</v>
      </c>
      <c r="F399" s="4">
        <v>45668</v>
      </c>
      <c r="G399" s="1">
        <v>2</v>
      </c>
      <c r="H399" s="1">
        <v>132</v>
      </c>
      <c r="I399" s="1" t="s">
        <v>30</v>
      </c>
      <c r="J399" s="1" t="s">
        <v>31</v>
      </c>
      <c r="K399" s="1" t="s">
        <v>32</v>
      </c>
      <c r="L399" t="str">
        <f>TEXT(Table2[[#This Row],[Order Date]],"YYY")</f>
        <v>2025</v>
      </c>
      <c r="M399" t="str">
        <f>TEXT(Table2[[#This Row],[Order Date]],"MMM")</f>
        <v>Jan</v>
      </c>
      <c r="N399" t="str">
        <f>TEXT(Table2[[#This Row],[Order Date]],"DDD")</f>
        <v>Sat</v>
      </c>
      <c r="O399">
        <f>DATEDIF(Table2[[#This Row],[Order Date]],Table2[[#This Row],[Delivered Date]],"D")</f>
        <v>7</v>
      </c>
      <c r="P399" s="10">
        <f>ROUND(Table2[[#This Row],[Quantity]]*Table2[[#This Row],[Unit Price]]*VLOOKUP(Table2[[#This Row],[Product Name]],Table_1[#All],2,FALSE),0)</f>
        <v>132</v>
      </c>
      <c r="Q399" s="10">
        <f>Table2[[#This Row],[Quantity]]*Table2[[#This Row],[Unit Price]]</f>
        <v>264</v>
      </c>
      <c r="R399" s="10">
        <f>Table2[[#This Row],[Sales Revenue]]-Table2[[#This Row],[Total Cost After Product Percentage Calc]]</f>
        <v>132</v>
      </c>
    </row>
    <row r="400" spans="1:18" ht="14.25" customHeight="1" x14ac:dyDescent="0.3">
      <c r="A400" s="1">
        <v>399</v>
      </c>
      <c r="B400" s="1" t="s">
        <v>451</v>
      </c>
      <c r="C400" s="1" t="s">
        <v>12</v>
      </c>
      <c r="D400" s="1" t="s">
        <v>13</v>
      </c>
      <c r="E400" s="2">
        <v>45678</v>
      </c>
      <c r="F400" s="4">
        <v>45693</v>
      </c>
      <c r="G400" s="1">
        <v>1</v>
      </c>
      <c r="H400" s="1">
        <v>102</v>
      </c>
      <c r="I400" s="1" t="s">
        <v>30</v>
      </c>
      <c r="J400" s="1" t="s">
        <v>15</v>
      </c>
      <c r="K400" s="1" t="s">
        <v>20</v>
      </c>
      <c r="L400" t="str">
        <f>TEXT(Table2[[#This Row],[Order Date]],"YYY")</f>
        <v>2025</v>
      </c>
      <c r="M400" t="str">
        <f>TEXT(Table2[[#This Row],[Order Date]],"MMM")</f>
        <v>Jan</v>
      </c>
      <c r="N400" t="str">
        <f>TEXT(Table2[[#This Row],[Order Date]],"DDD")</f>
        <v>Tue</v>
      </c>
      <c r="O400">
        <f>DATEDIF(Table2[[#This Row],[Order Date]],Table2[[#This Row],[Delivered Date]],"D")</f>
        <v>15</v>
      </c>
      <c r="P400" s="10">
        <f>ROUND(Table2[[#This Row],[Quantity]]*Table2[[#This Row],[Unit Price]]*VLOOKUP(Table2[[#This Row],[Product Name]],Table_1[#All],2,FALSE),0)</f>
        <v>77</v>
      </c>
      <c r="Q400" s="10">
        <f>Table2[[#This Row],[Quantity]]*Table2[[#This Row],[Unit Price]]</f>
        <v>102</v>
      </c>
      <c r="R400" s="10">
        <f>Table2[[#This Row],[Sales Revenue]]-Table2[[#This Row],[Total Cost After Product Percentage Calc]]</f>
        <v>25</v>
      </c>
    </row>
    <row r="401" spans="1:18" ht="14.25" customHeight="1" x14ac:dyDescent="0.3">
      <c r="A401" s="1">
        <v>400</v>
      </c>
      <c r="B401" s="1" t="s">
        <v>452</v>
      </c>
      <c r="C401" s="1" t="s">
        <v>22</v>
      </c>
      <c r="D401" s="1" t="s">
        <v>23</v>
      </c>
      <c r="E401" s="2">
        <v>45939</v>
      </c>
      <c r="F401" s="4">
        <v>45949</v>
      </c>
      <c r="G401" s="1">
        <v>5</v>
      </c>
      <c r="H401" s="1">
        <v>644</v>
      </c>
      <c r="I401" s="1" t="s">
        <v>14</v>
      </c>
      <c r="J401" s="1" t="s">
        <v>36</v>
      </c>
      <c r="K401" s="1" t="s">
        <v>32</v>
      </c>
      <c r="L401" t="str">
        <f>TEXT(Table2[[#This Row],[Order Date]],"YYY")</f>
        <v>2025</v>
      </c>
      <c r="M401" t="str">
        <f>TEXT(Table2[[#This Row],[Order Date]],"MMM")</f>
        <v>Oct</v>
      </c>
      <c r="N401" t="str">
        <f>TEXT(Table2[[#This Row],[Order Date]],"DDD")</f>
        <v>Thu</v>
      </c>
      <c r="O401">
        <f>DATEDIF(Table2[[#This Row],[Order Date]],Table2[[#This Row],[Delivered Date]],"D")</f>
        <v>10</v>
      </c>
      <c r="P401" s="10">
        <f>ROUND(Table2[[#This Row],[Quantity]]*Table2[[#This Row],[Unit Price]]*VLOOKUP(Table2[[#This Row],[Product Name]],Table_1[#All],2,FALSE),0)</f>
        <v>2415</v>
      </c>
      <c r="Q401" s="10">
        <f>Table2[[#This Row],[Quantity]]*Table2[[#This Row],[Unit Price]]</f>
        <v>3220</v>
      </c>
      <c r="R401" s="10">
        <f>Table2[[#This Row],[Sales Revenue]]-Table2[[#This Row],[Total Cost After Product Percentage Calc]]</f>
        <v>805</v>
      </c>
    </row>
    <row r="402" spans="1:18" ht="14.25" customHeight="1" x14ac:dyDescent="0.3">
      <c r="A402" s="1">
        <v>401</v>
      </c>
      <c r="B402" s="1" t="s">
        <v>453</v>
      </c>
      <c r="C402" s="1" t="s">
        <v>34</v>
      </c>
      <c r="D402" s="1" t="s">
        <v>35</v>
      </c>
      <c r="E402" s="2">
        <v>45728</v>
      </c>
      <c r="F402" s="4">
        <v>45734</v>
      </c>
      <c r="G402" s="1">
        <v>7</v>
      </c>
      <c r="H402" s="1">
        <v>171</v>
      </c>
      <c r="I402" s="1" t="s">
        <v>30</v>
      </c>
      <c r="J402" s="1" t="s">
        <v>24</v>
      </c>
      <c r="K402" s="1" t="s">
        <v>16</v>
      </c>
      <c r="L402" t="str">
        <f>TEXT(Table2[[#This Row],[Order Date]],"YYY")</f>
        <v>2025</v>
      </c>
      <c r="M402" t="str">
        <f>TEXT(Table2[[#This Row],[Order Date]],"MMM")</f>
        <v>Mar</v>
      </c>
      <c r="N402" t="str">
        <f>TEXT(Table2[[#This Row],[Order Date]],"DDD")</f>
        <v>Wed</v>
      </c>
      <c r="O402">
        <f>DATEDIF(Table2[[#This Row],[Order Date]],Table2[[#This Row],[Delivered Date]],"D")</f>
        <v>6</v>
      </c>
      <c r="P402" s="10">
        <f>ROUND(Table2[[#This Row],[Quantity]]*Table2[[#This Row],[Unit Price]]*VLOOKUP(Table2[[#This Row],[Product Name]],Table_1[#All],2,FALSE),0)</f>
        <v>898</v>
      </c>
      <c r="Q402" s="10">
        <f>Table2[[#This Row],[Quantity]]*Table2[[#This Row],[Unit Price]]</f>
        <v>1197</v>
      </c>
      <c r="R402" s="10">
        <f>Table2[[#This Row],[Sales Revenue]]-Table2[[#This Row],[Total Cost After Product Percentage Calc]]</f>
        <v>299</v>
      </c>
    </row>
    <row r="403" spans="1:18" ht="14.25" customHeight="1" x14ac:dyDescent="0.3">
      <c r="A403" s="1">
        <v>402</v>
      </c>
      <c r="B403" s="1" t="s">
        <v>454</v>
      </c>
      <c r="C403" s="1" t="s">
        <v>22</v>
      </c>
      <c r="D403" s="1" t="s">
        <v>87</v>
      </c>
      <c r="E403" s="2">
        <v>45901</v>
      </c>
      <c r="F403" s="4">
        <v>45903</v>
      </c>
      <c r="G403" s="1">
        <v>8</v>
      </c>
      <c r="H403" s="1">
        <v>204</v>
      </c>
      <c r="I403" s="1" t="s">
        <v>30</v>
      </c>
      <c r="J403" s="1" t="s">
        <v>36</v>
      </c>
      <c r="K403" s="1" t="s">
        <v>16</v>
      </c>
      <c r="L403" t="str">
        <f>TEXT(Table2[[#This Row],[Order Date]],"YYY")</f>
        <v>2025</v>
      </c>
      <c r="M403" t="str">
        <f>TEXT(Table2[[#This Row],[Order Date]],"MMM")</f>
        <v>Sep</v>
      </c>
      <c r="N403" t="str">
        <f>TEXT(Table2[[#This Row],[Order Date]],"DDD")</f>
        <v>Mon</v>
      </c>
      <c r="O403">
        <f>DATEDIF(Table2[[#This Row],[Order Date]],Table2[[#This Row],[Delivered Date]],"D")</f>
        <v>2</v>
      </c>
      <c r="P403" s="10">
        <f>ROUND(Table2[[#This Row],[Quantity]]*Table2[[#This Row],[Unit Price]]*VLOOKUP(Table2[[#This Row],[Product Name]],Table_1[#All],2,FALSE),0)</f>
        <v>1306</v>
      </c>
      <c r="Q403" s="10">
        <f>Table2[[#This Row],[Quantity]]*Table2[[#This Row],[Unit Price]]</f>
        <v>1632</v>
      </c>
      <c r="R403" s="10">
        <f>Table2[[#This Row],[Sales Revenue]]-Table2[[#This Row],[Total Cost After Product Percentage Calc]]</f>
        <v>326</v>
      </c>
    </row>
    <row r="404" spans="1:18" ht="14.25" customHeight="1" x14ac:dyDescent="0.3">
      <c r="A404" s="1">
        <v>403</v>
      </c>
      <c r="B404" s="1" t="s">
        <v>455</v>
      </c>
      <c r="C404" s="1" t="s">
        <v>26</v>
      </c>
      <c r="D404" s="1" t="s">
        <v>74</v>
      </c>
      <c r="E404" s="2">
        <v>45975</v>
      </c>
      <c r="F404" s="4">
        <v>45985</v>
      </c>
      <c r="G404" s="1">
        <v>1</v>
      </c>
      <c r="H404" s="1">
        <v>410</v>
      </c>
      <c r="I404" s="1" t="s">
        <v>30</v>
      </c>
      <c r="J404" s="1" t="s">
        <v>24</v>
      </c>
      <c r="K404" s="1" t="s">
        <v>20</v>
      </c>
      <c r="L404" t="str">
        <f>TEXT(Table2[[#This Row],[Order Date]],"YYY")</f>
        <v>2025</v>
      </c>
      <c r="M404" t="str">
        <f>TEXT(Table2[[#This Row],[Order Date]],"MMM")</f>
        <v>Nov</v>
      </c>
      <c r="N404" t="str">
        <f>TEXT(Table2[[#This Row],[Order Date]],"DDD")</f>
        <v>Fri</v>
      </c>
      <c r="O404">
        <f>DATEDIF(Table2[[#This Row],[Order Date]],Table2[[#This Row],[Delivered Date]],"D")</f>
        <v>10</v>
      </c>
      <c r="P404" s="10">
        <f>ROUND(Table2[[#This Row],[Quantity]]*Table2[[#This Row],[Unit Price]]*VLOOKUP(Table2[[#This Row],[Product Name]],Table_1[#All],2,FALSE),0)</f>
        <v>226</v>
      </c>
      <c r="Q404" s="10">
        <f>Table2[[#This Row],[Quantity]]*Table2[[#This Row],[Unit Price]]</f>
        <v>410</v>
      </c>
      <c r="R404" s="10">
        <f>Table2[[#This Row],[Sales Revenue]]-Table2[[#This Row],[Total Cost After Product Percentage Calc]]</f>
        <v>184</v>
      </c>
    </row>
    <row r="405" spans="1:18" ht="14.25" customHeight="1" x14ac:dyDescent="0.3">
      <c r="A405" s="1">
        <v>404</v>
      </c>
      <c r="B405" s="1" t="s">
        <v>456</v>
      </c>
      <c r="C405" s="1" t="s">
        <v>26</v>
      </c>
      <c r="D405" s="1" t="s">
        <v>41</v>
      </c>
      <c r="E405" s="2">
        <v>45782</v>
      </c>
      <c r="F405" s="4">
        <v>45785</v>
      </c>
      <c r="G405" s="1">
        <v>2</v>
      </c>
      <c r="H405" s="1">
        <v>874</v>
      </c>
      <c r="I405" s="1" t="s">
        <v>14</v>
      </c>
      <c r="J405" s="1" t="s">
        <v>15</v>
      </c>
      <c r="K405" s="1" t="s">
        <v>32</v>
      </c>
      <c r="L405" t="str">
        <f>TEXT(Table2[[#This Row],[Order Date]],"YYY")</f>
        <v>2025</v>
      </c>
      <c r="M405" t="str">
        <f>TEXT(Table2[[#This Row],[Order Date]],"MMM")</f>
        <v>May</v>
      </c>
      <c r="N405" t="str">
        <f>TEXT(Table2[[#This Row],[Order Date]],"DDD")</f>
        <v>Mon</v>
      </c>
      <c r="O405">
        <f>DATEDIF(Table2[[#This Row],[Order Date]],Table2[[#This Row],[Delivered Date]],"D")</f>
        <v>3</v>
      </c>
      <c r="P405" s="10">
        <f>ROUND(Table2[[#This Row],[Quantity]]*Table2[[#This Row],[Unit Price]]*VLOOKUP(Table2[[#This Row],[Product Name]],Table_1[#All],2,FALSE),0)</f>
        <v>874</v>
      </c>
      <c r="Q405" s="10">
        <f>Table2[[#This Row],[Quantity]]*Table2[[#This Row],[Unit Price]]</f>
        <v>1748</v>
      </c>
      <c r="R405" s="10">
        <f>Table2[[#This Row],[Sales Revenue]]-Table2[[#This Row],[Total Cost After Product Percentage Calc]]</f>
        <v>874</v>
      </c>
    </row>
    <row r="406" spans="1:18" ht="14.25" customHeight="1" x14ac:dyDescent="0.3">
      <c r="A406" s="1">
        <v>405</v>
      </c>
      <c r="B406" s="1" t="s">
        <v>457</v>
      </c>
      <c r="C406" s="1" t="s">
        <v>18</v>
      </c>
      <c r="D406" s="1" t="s">
        <v>68</v>
      </c>
      <c r="E406" s="2">
        <v>45707</v>
      </c>
      <c r="F406" s="4">
        <v>45711</v>
      </c>
      <c r="G406" s="1">
        <v>7</v>
      </c>
      <c r="H406" s="1">
        <v>855</v>
      </c>
      <c r="I406" s="1" t="s">
        <v>30</v>
      </c>
      <c r="J406" s="1" t="s">
        <v>31</v>
      </c>
      <c r="K406" s="1" t="s">
        <v>16</v>
      </c>
      <c r="L406" t="str">
        <f>TEXT(Table2[[#This Row],[Order Date]],"YYY")</f>
        <v>2025</v>
      </c>
      <c r="M406" t="str">
        <f>TEXT(Table2[[#This Row],[Order Date]],"MMM")</f>
        <v>Feb</v>
      </c>
      <c r="N406" t="str">
        <f>TEXT(Table2[[#This Row],[Order Date]],"DDD")</f>
        <v>Wed</v>
      </c>
      <c r="O406">
        <f>DATEDIF(Table2[[#This Row],[Order Date]],Table2[[#This Row],[Delivered Date]],"D")</f>
        <v>4</v>
      </c>
      <c r="P406" s="10">
        <f>ROUND(Table2[[#This Row],[Quantity]]*Table2[[#This Row],[Unit Price]]*VLOOKUP(Table2[[#This Row],[Product Name]],Table_1[#All],2,FALSE),0)</f>
        <v>2993</v>
      </c>
      <c r="Q406" s="10">
        <f>Table2[[#This Row],[Quantity]]*Table2[[#This Row],[Unit Price]]</f>
        <v>5985</v>
      </c>
      <c r="R406" s="10">
        <f>Table2[[#This Row],[Sales Revenue]]-Table2[[#This Row],[Total Cost After Product Percentage Calc]]</f>
        <v>2992</v>
      </c>
    </row>
    <row r="407" spans="1:18" ht="14.25" customHeight="1" x14ac:dyDescent="0.3">
      <c r="A407" s="1">
        <v>406</v>
      </c>
      <c r="B407" s="1" t="s">
        <v>458</v>
      </c>
      <c r="C407" s="1" t="s">
        <v>34</v>
      </c>
      <c r="D407" s="1" t="s">
        <v>54</v>
      </c>
      <c r="E407" s="2">
        <v>45753</v>
      </c>
      <c r="F407" s="4">
        <v>45760</v>
      </c>
      <c r="G407" s="1">
        <v>1</v>
      </c>
      <c r="H407" s="1">
        <v>386</v>
      </c>
      <c r="I407" s="1" t="s">
        <v>14</v>
      </c>
      <c r="J407" s="1" t="s">
        <v>15</v>
      </c>
      <c r="K407" s="1" t="s">
        <v>20</v>
      </c>
      <c r="L407" t="str">
        <f>TEXT(Table2[[#This Row],[Order Date]],"YYY")</f>
        <v>2025</v>
      </c>
      <c r="M407" t="str">
        <f>TEXT(Table2[[#This Row],[Order Date]],"MMM")</f>
        <v>Apr</v>
      </c>
      <c r="N407" t="str">
        <f>TEXT(Table2[[#This Row],[Order Date]],"DDD")</f>
        <v>Sun</v>
      </c>
      <c r="O407">
        <f>DATEDIF(Table2[[#This Row],[Order Date]],Table2[[#This Row],[Delivered Date]],"D")</f>
        <v>7</v>
      </c>
      <c r="P407" s="10">
        <f>ROUND(Table2[[#This Row],[Quantity]]*Table2[[#This Row],[Unit Price]]*VLOOKUP(Table2[[#This Row],[Product Name]],Table_1[#All],2,FALSE),0)</f>
        <v>270</v>
      </c>
      <c r="Q407" s="10">
        <f>Table2[[#This Row],[Quantity]]*Table2[[#This Row],[Unit Price]]</f>
        <v>386</v>
      </c>
      <c r="R407" s="10">
        <f>Table2[[#This Row],[Sales Revenue]]-Table2[[#This Row],[Total Cost After Product Percentage Calc]]</f>
        <v>116</v>
      </c>
    </row>
    <row r="408" spans="1:18" ht="14.25" customHeight="1" x14ac:dyDescent="0.3">
      <c r="A408" s="1">
        <v>407</v>
      </c>
      <c r="B408" s="1" t="s">
        <v>459</v>
      </c>
      <c r="C408" s="1" t="s">
        <v>18</v>
      </c>
      <c r="D408" s="1" t="s">
        <v>60</v>
      </c>
      <c r="E408" s="2">
        <v>45732</v>
      </c>
      <c r="F408" s="4">
        <v>45743</v>
      </c>
      <c r="G408" s="1">
        <v>9</v>
      </c>
      <c r="H408" s="1">
        <v>309</v>
      </c>
      <c r="I408" s="1" t="s">
        <v>30</v>
      </c>
      <c r="J408" s="1" t="s">
        <v>52</v>
      </c>
      <c r="K408" s="1" t="s">
        <v>49</v>
      </c>
      <c r="L408" t="str">
        <f>TEXT(Table2[[#This Row],[Order Date]],"YYY")</f>
        <v>2025</v>
      </c>
      <c r="M408" t="str">
        <f>TEXT(Table2[[#This Row],[Order Date]],"MMM")</f>
        <v>Mar</v>
      </c>
      <c r="N408" t="str">
        <f>TEXT(Table2[[#This Row],[Order Date]],"DDD")</f>
        <v>Sun</v>
      </c>
      <c r="O408">
        <f>DATEDIF(Table2[[#This Row],[Order Date]],Table2[[#This Row],[Delivered Date]],"D")</f>
        <v>11</v>
      </c>
      <c r="P408" s="10">
        <f>ROUND(Table2[[#This Row],[Quantity]]*Table2[[#This Row],[Unit Price]]*VLOOKUP(Table2[[#This Row],[Product Name]],Table_1[#All],2,FALSE),0)</f>
        <v>1530</v>
      </c>
      <c r="Q408" s="10">
        <f>Table2[[#This Row],[Quantity]]*Table2[[#This Row],[Unit Price]]</f>
        <v>2781</v>
      </c>
      <c r="R408" s="10">
        <f>Table2[[#This Row],[Sales Revenue]]-Table2[[#This Row],[Total Cost After Product Percentage Calc]]</f>
        <v>1251</v>
      </c>
    </row>
    <row r="409" spans="1:18" ht="14.25" customHeight="1" x14ac:dyDescent="0.3">
      <c r="A409" s="1">
        <v>408</v>
      </c>
      <c r="B409" s="1" t="s">
        <v>460</v>
      </c>
      <c r="C409" s="1" t="s">
        <v>34</v>
      </c>
      <c r="D409" s="1" t="s">
        <v>35</v>
      </c>
      <c r="E409" s="2">
        <v>45709</v>
      </c>
      <c r="F409" s="4">
        <v>45719</v>
      </c>
      <c r="G409" s="1">
        <v>3</v>
      </c>
      <c r="H409" s="1">
        <v>97</v>
      </c>
      <c r="I409" s="1" t="s">
        <v>14</v>
      </c>
      <c r="J409" s="1" t="s">
        <v>31</v>
      </c>
      <c r="K409" s="1" t="s">
        <v>16</v>
      </c>
      <c r="L409" t="str">
        <f>TEXT(Table2[[#This Row],[Order Date]],"YYY")</f>
        <v>2025</v>
      </c>
      <c r="M409" t="str">
        <f>TEXT(Table2[[#This Row],[Order Date]],"MMM")</f>
        <v>Feb</v>
      </c>
      <c r="N409" t="str">
        <f>TEXT(Table2[[#This Row],[Order Date]],"DDD")</f>
        <v>Fri</v>
      </c>
      <c r="O409">
        <f>DATEDIF(Table2[[#This Row],[Order Date]],Table2[[#This Row],[Delivered Date]],"D")</f>
        <v>10</v>
      </c>
      <c r="P409" s="10">
        <f>ROUND(Table2[[#This Row],[Quantity]]*Table2[[#This Row],[Unit Price]]*VLOOKUP(Table2[[#This Row],[Product Name]],Table_1[#All],2,FALSE),0)</f>
        <v>218</v>
      </c>
      <c r="Q409" s="10">
        <f>Table2[[#This Row],[Quantity]]*Table2[[#This Row],[Unit Price]]</f>
        <v>291</v>
      </c>
      <c r="R409" s="10">
        <f>Table2[[#This Row],[Sales Revenue]]-Table2[[#This Row],[Total Cost After Product Percentage Calc]]</f>
        <v>73</v>
      </c>
    </row>
    <row r="410" spans="1:18" ht="14.25" customHeight="1" x14ac:dyDescent="0.3">
      <c r="A410" s="1">
        <v>409</v>
      </c>
      <c r="B410" s="1" t="s">
        <v>461</v>
      </c>
      <c r="C410" s="1" t="s">
        <v>18</v>
      </c>
      <c r="D410" s="1" t="s">
        <v>60</v>
      </c>
      <c r="E410" s="2">
        <v>45970</v>
      </c>
      <c r="F410" s="4">
        <v>45981</v>
      </c>
      <c r="G410" s="1">
        <v>4</v>
      </c>
      <c r="H410" s="1">
        <v>180</v>
      </c>
      <c r="I410" s="1" t="s">
        <v>30</v>
      </c>
      <c r="J410" s="1" t="s">
        <v>24</v>
      </c>
      <c r="K410" s="1" t="s">
        <v>49</v>
      </c>
      <c r="L410" t="str">
        <f>TEXT(Table2[[#This Row],[Order Date]],"YYY")</f>
        <v>2025</v>
      </c>
      <c r="M410" t="str">
        <f>TEXT(Table2[[#This Row],[Order Date]],"MMM")</f>
        <v>Nov</v>
      </c>
      <c r="N410" t="str">
        <f>TEXT(Table2[[#This Row],[Order Date]],"DDD")</f>
        <v>Sun</v>
      </c>
      <c r="O410">
        <f>DATEDIF(Table2[[#This Row],[Order Date]],Table2[[#This Row],[Delivered Date]],"D")</f>
        <v>11</v>
      </c>
      <c r="P410" s="10">
        <f>ROUND(Table2[[#This Row],[Quantity]]*Table2[[#This Row],[Unit Price]]*VLOOKUP(Table2[[#This Row],[Product Name]],Table_1[#All],2,FALSE),0)</f>
        <v>396</v>
      </c>
      <c r="Q410" s="10">
        <f>Table2[[#This Row],[Quantity]]*Table2[[#This Row],[Unit Price]]</f>
        <v>720</v>
      </c>
      <c r="R410" s="10">
        <f>Table2[[#This Row],[Sales Revenue]]-Table2[[#This Row],[Total Cost After Product Percentage Calc]]</f>
        <v>324</v>
      </c>
    </row>
    <row r="411" spans="1:18" ht="14.25" customHeight="1" x14ac:dyDescent="0.3">
      <c r="A411" s="1">
        <v>410</v>
      </c>
      <c r="B411" s="1" t="s">
        <v>462</v>
      </c>
      <c r="C411" s="1" t="s">
        <v>22</v>
      </c>
      <c r="D411" s="1" t="s">
        <v>23</v>
      </c>
      <c r="E411" s="2">
        <v>45836</v>
      </c>
      <c r="F411" s="4">
        <v>45842</v>
      </c>
      <c r="G411" s="1">
        <v>1</v>
      </c>
      <c r="H411" s="1">
        <v>187</v>
      </c>
      <c r="I411" s="1" t="s">
        <v>30</v>
      </c>
      <c r="J411" s="1" t="s">
        <v>15</v>
      </c>
      <c r="K411" s="1" t="s">
        <v>20</v>
      </c>
      <c r="L411" t="str">
        <f>TEXT(Table2[[#This Row],[Order Date]],"YYY")</f>
        <v>2025</v>
      </c>
      <c r="M411" t="str">
        <f>TEXT(Table2[[#This Row],[Order Date]],"MMM")</f>
        <v>Jun</v>
      </c>
      <c r="N411" t="str">
        <f>TEXT(Table2[[#This Row],[Order Date]],"DDD")</f>
        <v>Sat</v>
      </c>
      <c r="O411">
        <f>DATEDIF(Table2[[#This Row],[Order Date]],Table2[[#This Row],[Delivered Date]],"D")</f>
        <v>6</v>
      </c>
      <c r="P411" s="10">
        <f>ROUND(Table2[[#This Row],[Quantity]]*Table2[[#This Row],[Unit Price]]*VLOOKUP(Table2[[#This Row],[Product Name]],Table_1[#All],2,FALSE),0)</f>
        <v>140</v>
      </c>
      <c r="Q411" s="10">
        <f>Table2[[#This Row],[Quantity]]*Table2[[#This Row],[Unit Price]]</f>
        <v>187</v>
      </c>
      <c r="R411" s="10">
        <f>Table2[[#This Row],[Sales Revenue]]-Table2[[#This Row],[Total Cost After Product Percentage Calc]]</f>
        <v>47</v>
      </c>
    </row>
    <row r="412" spans="1:18" ht="14.25" customHeight="1" x14ac:dyDescent="0.3">
      <c r="A412" s="1">
        <v>411</v>
      </c>
      <c r="B412" s="1" t="s">
        <v>463</v>
      </c>
      <c r="C412" s="1" t="s">
        <v>34</v>
      </c>
      <c r="D412" s="1" t="s">
        <v>80</v>
      </c>
      <c r="E412" s="2">
        <v>45926</v>
      </c>
      <c r="F412" s="4">
        <v>45934</v>
      </c>
      <c r="G412" s="1">
        <v>9</v>
      </c>
      <c r="H412" s="1">
        <v>286</v>
      </c>
      <c r="I412" s="1" t="s">
        <v>30</v>
      </c>
      <c r="J412" s="1" t="s">
        <v>36</v>
      </c>
      <c r="K412" s="1" t="s">
        <v>49</v>
      </c>
      <c r="L412" t="str">
        <f>TEXT(Table2[[#This Row],[Order Date]],"YYY")</f>
        <v>2025</v>
      </c>
      <c r="M412" t="str">
        <f>TEXT(Table2[[#This Row],[Order Date]],"MMM")</f>
        <v>Sep</v>
      </c>
      <c r="N412" t="str">
        <f>TEXT(Table2[[#This Row],[Order Date]],"DDD")</f>
        <v>Fri</v>
      </c>
      <c r="O412">
        <f>DATEDIF(Table2[[#This Row],[Order Date]],Table2[[#This Row],[Delivered Date]],"D")</f>
        <v>8</v>
      </c>
      <c r="P412" s="10">
        <f>ROUND(Table2[[#This Row],[Quantity]]*Table2[[#This Row],[Unit Price]]*VLOOKUP(Table2[[#This Row],[Product Name]],Table_1[#All],2,FALSE),0)</f>
        <v>1931</v>
      </c>
      <c r="Q412" s="10">
        <f>Table2[[#This Row],[Quantity]]*Table2[[#This Row],[Unit Price]]</f>
        <v>2574</v>
      </c>
      <c r="R412" s="10">
        <f>Table2[[#This Row],[Sales Revenue]]-Table2[[#This Row],[Total Cost After Product Percentage Calc]]</f>
        <v>643</v>
      </c>
    </row>
    <row r="413" spans="1:18" ht="14.25" customHeight="1" x14ac:dyDescent="0.3">
      <c r="A413" s="1">
        <v>412</v>
      </c>
      <c r="B413" s="1" t="s">
        <v>464</v>
      </c>
      <c r="C413" s="1" t="s">
        <v>34</v>
      </c>
      <c r="D413" s="1" t="s">
        <v>35</v>
      </c>
      <c r="E413" s="2">
        <v>45675</v>
      </c>
      <c r="F413" s="4">
        <v>45688</v>
      </c>
      <c r="G413" s="1">
        <v>6</v>
      </c>
      <c r="H413" s="1">
        <v>541</v>
      </c>
      <c r="I413" s="1" t="s">
        <v>30</v>
      </c>
      <c r="J413" s="1" t="s">
        <v>15</v>
      </c>
      <c r="K413" s="1" t="s">
        <v>16</v>
      </c>
      <c r="L413" t="str">
        <f>TEXT(Table2[[#This Row],[Order Date]],"YYY")</f>
        <v>2025</v>
      </c>
      <c r="M413" t="str">
        <f>TEXT(Table2[[#This Row],[Order Date]],"MMM")</f>
        <v>Jan</v>
      </c>
      <c r="N413" t="str">
        <f>TEXT(Table2[[#This Row],[Order Date]],"DDD")</f>
        <v>Sat</v>
      </c>
      <c r="O413">
        <f>DATEDIF(Table2[[#This Row],[Order Date]],Table2[[#This Row],[Delivered Date]],"D")</f>
        <v>13</v>
      </c>
      <c r="P413" s="10">
        <f>ROUND(Table2[[#This Row],[Quantity]]*Table2[[#This Row],[Unit Price]]*VLOOKUP(Table2[[#This Row],[Product Name]],Table_1[#All],2,FALSE),0)</f>
        <v>2435</v>
      </c>
      <c r="Q413" s="10">
        <f>Table2[[#This Row],[Quantity]]*Table2[[#This Row],[Unit Price]]</f>
        <v>3246</v>
      </c>
      <c r="R413" s="10">
        <f>Table2[[#This Row],[Sales Revenue]]-Table2[[#This Row],[Total Cost After Product Percentage Calc]]</f>
        <v>811</v>
      </c>
    </row>
    <row r="414" spans="1:18" ht="14.25" customHeight="1" x14ac:dyDescent="0.3">
      <c r="A414" s="1">
        <v>413</v>
      </c>
      <c r="B414" s="1" t="s">
        <v>465</v>
      </c>
      <c r="C414" s="1" t="s">
        <v>18</v>
      </c>
      <c r="D414" s="1" t="s">
        <v>47</v>
      </c>
      <c r="E414" s="2">
        <v>45850</v>
      </c>
      <c r="F414" s="4">
        <v>45858</v>
      </c>
      <c r="G414" s="1">
        <v>8</v>
      </c>
      <c r="H414" s="1">
        <v>779</v>
      </c>
      <c r="I414" s="1" t="s">
        <v>14</v>
      </c>
      <c r="J414" s="1" t="s">
        <v>31</v>
      </c>
      <c r="K414" s="1" t="s">
        <v>32</v>
      </c>
      <c r="L414" t="str">
        <f>TEXT(Table2[[#This Row],[Order Date]],"YYY")</f>
        <v>2025</v>
      </c>
      <c r="M414" t="str">
        <f>TEXT(Table2[[#This Row],[Order Date]],"MMM")</f>
        <v>Jul</v>
      </c>
      <c r="N414" t="str">
        <f>TEXT(Table2[[#This Row],[Order Date]],"DDD")</f>
        <v>Sat</v>
      </c>
      <c r="O414">
        <f>DATEDIF(Table2[[#This Row],[Order Date]],Table2[[#This Row],[Delivered Date]],"D")</f>
        <v>8</v>
      </c>
      <c r="P414" s="10">
        <f>ROUND(Table2[[#This Row],[Quantity]]*Table2[[#This Row],[Unit Price]]*VLOOKUP(Table2[[#This Row],[Product Name]],Table_1[#All],2,FALSE),0)</f>
        <v>3739</v>
      </c>
      <c r="Q414" s="10">
        <f>Table2[[#This Row],[Quantity]]*Table2[[#This Row],[Unit Price]]</f>
        <v>6232</v>
      </c>
      <c r="R414" s="10">
        <f>Table2[[#This Row],[Sales Revenue]]-Table2[[#This Row],[Total Cost After Product Percentage Calc]]</f>
        <v>2493</v>
      </c>
    </row>
    <row r="415" spans="1:18" ht="14.25" customHeight="1" x14ac:dyDescent="0.3">
      <c r="A415" s="1">
        <v>414</v>
      </c>
      <c r="B415" s="1" t="s">
        <v>466</v>
      </c>
      <c r="C415" s="1" t="s">
        <v>12</v>
      </c>
      <c r="D415" s="1" t="s">
        <v>62</v>
      </c>
      <c r="E415" s="2">
        <v>45909</v>
      </c>
      <c r="F415" s="4">
        <v>45911</v>
      </c>
      <c r="G415" s="1">
        <v>4</v>
      </c>
      <c r="H415" s="1">
        <v>249</v>
      </c>
      <c r="I415" s="1" t="s">
        <v>30</v>
      </c>
      <c r="J415" s="1" t="s">
        <v>15</v>
      </c>
      <c r="K415" s="1" t="s">
        <v>16</v>
      </c>
      <c r="L415" t="str">
        <f>TEXT(Table2[[#This Row],[Order Date]],"YYY")</f>
        <v>2025</v>
      </c>
      <c r="M415" t="str">
        <f>TEXT(Table2[[#This Row],[Order Date]],"MMM")</f>
        <v>Sep</v>
      </c>
      <c r="N415" t="str">
        <f>TEXT(Table2[[#This Row],[Order Date]],"DDD")</f>
        <v>Tue</v>
      </c>
      <c r="O415">
        <f>DATEDIF(Table2[[#This Row],[Order Date]],Table2[[#This Row],[Delivered Date]],"D")</f>
        <v>2</v>
      </c>
      <c r="P415" s="10">
        <f>ROUND(Table2[[#This Row],[Quantity]]*Table2[[#This Row],[Unit Price]]*VLOOKUP(Table2[[#This Row],[Product Name]],Table_1[#All],2,FALSE),0)</f>
        <v>847</v>
      </c>
      <c r="Q415" s="10">
        <f>Table2[[#This Row],[Quantity]]*Table2[[#This Row],[Unit Price]]</f>
        <v>996</v>
      </c>
      <c r="R415" s="10">
        <f>Table2[[#This Row],[Sales Revenue]]-Table2[[#This Row],[Total Cost After Product Percentage Calc]]</f>
        <v>149</v>
      </c>
    </row>
    <row r="416" spans="1:18" ht="14.25" customHeight="1" x14ac:dyDescent="0.3">
      <c r="A416" s="1">
        <v>415</v>
      </c>
      <c r="B416" s="1" t="s">
        <v>467</v>
      </c>
      <c r="C416" s="1" t="s">
        <v>12</v>
      </c>
      <c r="D416" s="1" t="s">
        <v>29</v>
      </c>
      <c r="E416" s="2">
        <v>45854</v>
      </c>
      <c r="F416" s="4">
        <v>45867</v>
      </c>
      <c r="G416" s="1">
        <v>2</v>
      </c>
      <c r="H416" s="1">
        <v>146</v>
      </c>
      <c r="I416" s="1" t="s">
        <v>30</v>
      </c>
      <c r="J416" s="1" t="s">
        <v>52</v>
      </c>
      <c r="K416" s="1" t="s">
        <v>49</v>
      </c>
      <c r="L416" t="str">
        <f>TEXT(Table2[[#This Row],[Order Date]],"YYY")</f>
        <v>2025</v>
      </c>
      <c r="M416" t="str">
        <f>TEXT(Table2[[#This Row],[Order Date]],"MMM")</f>
        <v>Jul</v>
      </c>
      <c r="N416" t="str">
        <f>TEXT(Table2[[#This Row],[Order Date]],"DDD")</f>
        <v>Wed</v>
      </c>
      <c r="O416">
        <f>DATEDIF(Table2[[#This Row],[Order Date]],Table2[[#This Row],[Delivered Date]],"D")</f>
        <v>13</v>
      </c>
      <c r="P416" s="10">
        <f>ROUND(Table2[[#This Row],[Quantity]]*Table2[[#This Row],[Unit Price]]*VLOOKUP(Table2[[#This Row],[Product Name]],Table_1[#All],2,FALSE),0)</f>
        <v>190</v>
      </c>
      <c r="Q416" s="10">
        <f>Table2[[#This Row],[Quantity]]*Table2[[#This Row],[Unit Price]]</f>
        <v>292</v>
      </c>
      <c r="R416" s="10">
        <f>Table2[[#This Row],[Sales Revenue]]-Table2[[#This Row],[Total Cost After Product Percentage Calc]]</f>
        <v>102</v>
      </c>
    </row>
    <row r="417" spans="1:18" ht="14.25" customHeight="1" x14ac:dyDescent="0.3">
      <c r="A417" s="1">
        <v>416</v>
      </c>
      <c r="B417" s="1" t="s">
        <v>468</v>
      </c>
      <c r="C417" s="1" t="s">
        <v>26</v>
      </c>
      <c r="D417" s="1" t="s">
        <v>27</v>
      </c>
      <c r="E417" s="2">
        <v>45665</v>
      </c>
      <c r="F417" s="4">
        <v>45678</v>
      </c>
      <c r="G417" s="1">
        <v>1</v>
      </c>
      <c r="H417" s="1">
        <v>333</v>
      </c>
      <c r="I417" s="1" t="s">
        <v>30</v>
      </c>
      <c r="J417" s="1" t="s">
        <v>36</v>
      </c>
      <c r="K417" s="1" t="s">
        <v>16</v>
      </c>
      <c r="L417" t="str">
        <f>TEXT(Table2[[#This Row],[Order Date]],"YYY")</f>
        <v>2025</v>
      </c>
      <c r="M417" t="str">
        <f>TEXT(Table2[[#This Row],[Order Date]],"MMM")</f>
        <v>Jan</v>
      </c>
      <c r="N417" t="str">
        <f>TEXT(Table2[[#This Row],[Order Date]],"DDD")</f>
        <v>Wed</v>
      </c>
      <c r="O417">
        <f>DATEDIF(Table2[[#This Row],[Order Date]],Table2[[#This Row],[Delivered Date]],"D")</f>
        <v>13</v>
      </c>
      <c r="P417" s="10">
        <f>ROUND(Table2[[#This Row],[Quantity]]*Table2[[#This Row],[Unit Price]]*VLOOKUP(Table2[[#This Row],[Product Name]],Table_1[#All],2,FALSE),0)</f>
        <v>183</v>
      </c>
      <c r="Q417" s="10">
        <f>Table2[[#This Row],[Quantity]]*Table2[[#This Row],[Unit Price]]</f>
        <v>333</v>
      </c>
      <c r="R417" s="10">
        <f>Table2[[#This Row],[Sales Revenue]]-Table2[[#This Row],[Total Cost After Product Percentage Calc]]</f>
        <v>150</v>
      </c>
    </row>
    <row r="418" spans="1:18" ht="14.25" customHeight="1" x14ac:dyDescent="0.3">
      <c r="A418" s="1">
        <v>417</v>
      </c>
      <c r="B418" s="1" t="s">
        <v>469</v>
      </c>
      <c r="C418" s="1" t="s">
        <v>26</v>
      </c>
      <c r="D418" s="1" t="s">
        <v>41</v>
      </c>
      <c r="E418" s="2">
        <v>45897</v>
      </c>
      <c r="F418" s="4">
        <v>45904</v>
      </c>
      <c r="G418" s="1">
        <v>9</v>
      </c>
      <c r="H418" s="1">
        <v>687</v>
      </c>
      <c r="I418" s="1" t="s">
        <v>30</v>
      </c>
      <c r="J418" s="1" t="s">
        <v>52</v>
      </c>
      <c r="K418" s="1" t="s">
        <v>32</v>
      </c>
      <c r="L418" t="str">
        <f>TEXT(Table2[[#This Row],[Order Date]],"YYY")</f>
        <v>2025</v>
      </c>
      <c r="M418" t="str">
        <f>TEXT(Table2[[#This Row],[Order Date]],"MMM")</f>
        <v>Aug</v>
      </c>
      <c r="N418" t="str">
        <f>TEXT(Table2[[#This Row],[Order Date]],"DDD")</f>
        <v>Thu</v>
      </c>
      <c r="O418">
        <f>DATEDIF(Table2[[#This Row],[Order Date]],Table2[[#This Row],[Delivered Date]],"D")</f>
        <v>7</v>
      </c>
      <c r="P418" s="10">
        <f>ROUND(Table2[[#This Row],[Quantity]]*Table2[[#This Row],[Unit Price]]*VLOOKUP(Table2[[#This Row],[Product Name]],Table_1[#All],2,FALSE),0)</f>
        <v>3092</v>
      </c>
      <c r="Q418" s="10">
        <f>Table2[[#This Row],[Quantity]]*Table2[[#This Row],[Unit Price]]</f>
        <v>6183</v>
      </c>
      <c r="R418" s="10">
        <f>Table2[[#This Row],[Sales Revenue]]-Table2[[#This Row],[Total Cost After Product Percentage Calc]]</f>
        <v>3091</v>
      </c>
    </row>
    <row r="419" spans="1:18" ht="14.25" customHeight="1" x14ac:dyDescent="0.3">
      <c r="A419" s="1">
        <v>418</v>
      </c>
      <c r="B419" s="1" t="s">
        <v>470</v>
      </c>
      <c r="C419" s="1" t="s">
        <v>22</v>
      </c>
      <c r="D419" s="1" t="s">
        <v>87</v>
      </c>
      <c r="E419" s="2">
        <v>45847</v>
      </c>
      <c r="F419" s="4">
        <v>45857</v>
      </c>
      <c r="G419" s="1">
        <v>6</v>
      </c>
      <c r="H419" s="1">
        <v>342</v>
      </c>
      <c r="I419" s="1" t="s">
        <v>14</v>
      </c>
      <c r="J419" s="1" t="s">
        <v>36</v>
      </c>
      <c r="K419" s="1" t="s">
        <v>32</v>
      </c>
      <c r="L419" t="str">
        <f>TEXT(Table2[[#This Row],[Order Date]],"YYY")</f>
        <v>2025</v>
      </c>
      <c r="M419" t="str">
        <f>TEXT(Table2[[#This Row],[Order Date]],"MMM")</f>
        <v>Jul</v>
      </c>
      <c r="N419" t="str">
        <f>TEXT(Table2[[#This Row],[Order Date]],"DDD")</f>
        <v>Wed</v>
      </c>
      <c r="O419">
        <f>DATEDIF(Table2[[#This Row],[Order Date]],Table2[[#This Row],[Delivered Date]],"D")</f>
        <v>10</v>
      </c>
      <c r="P419" s="10">
        <f>ROUND(Table2[[#This Row],[Quantity]]*Table2[[#This Row],[Unit Price]]*VLOOKUP(Table2[[#This Row],[Product Name]],Table_1[#All],2,FALSE),0)</f>
        <v>1642</v>
      </c>
      <c r="Q419" s="10">
        <f>Table2[[#This Row],[Quantity]]*Table2[[#This Row],[Unit Price]]</f>
        <v>2052</v>
      </c>
      <c r="R419" s="10">
        <f>Table2[[#This Row],[Sales Revenue]]-Table2[[#This Row],[Total Cost After Product Percentage Calc]]</f>
        <v>410</v>
      </c>
    </row>
    <row r="420" spans="1:18" ht="14.25" customHeight="1" x14ac:dyDescent="0.3">
      <c r="A420" s="1">
        <v>419</v>
      </c>
      <c r="B420" s="1" t="s">
        <v>471</v>
      </c>
      <c r="C420" s="1" t="s">
        <v>34</v>
      </c>
      <c r="D420" s="1" t="s">
        <v>80</v>
      </c>
      <c r="E420" s="2">
        <v>45972</v>
      </c>
      <c r="F420" s="4">
        <v>45977</v>
      </c>
      <c r="G420" s="1">
        <v>6</v>
      </c>
      <c r="H420" s="1">
        <v>461</v>
      </c>
      <c r="I420" s="1" t="s">
        <v>14</v>
      </c>
      <c r="J420" s="1" t="s">
        <v>31</v>
      </c>
      <c r="K420" s="1" t="s">
        <v>16</v>
      </c>
      <c r="L420" t="str">
        <f>TEXT(Table2[[#This Row],[Order Date]],"YYY")</f>
        <v>2025</v>
      </c>
      <c r="M420" t="str">
        <f>TEXT(Table2[[#This Row],[Order Date]],"MMM")</f>
        <v>Nov</v>
      </c>
      <c r="N420" t="str">
        <f>TEXT(Table2[[#This Row],[Order Date]],"DDD")</f>
        <v>Tue</v>
      </c>
      <c r="O420">
        <f>DATEDIF(Table2[[#This Row],[Order Date]],Table2[[#This Row],[Delivered Date]],"D")</f>
        <v>5</v>
      </c>
      <c r="P420" s="10">
        <f>ROUND(Table2[[#This Row],[Quantity]]*Table2[[#This Row],[Unit Price]]*VLOOKUP(Table2[[#This Row],[Product Name]],Table_1[#All],2,FALSE),0)</f>
        <v>2075</v>
      </c>
      <c r="Q420" s="10">
        <f>Table2[[#This Row],[Quantity]]*Table2[[#This Row],[Unit Price]]</f>
        <v>2766</v>
      </c>
      <c r="R420" s="10">
        <f>Table2[[#This Row],[Sales Revenue]]-Table2[[#This Row],[Total Cost After Product Percentage Calc]]</f>
        <v>691</v>
      </c>
    </row>
    <row r="421" spans="1:18" ht="14.25" customHeight="1" x14ac:dyDescent="0.3">
      <c r="A421" s="1">
        <v>420</v>
      </c>
      <c r="B421" s="1" t="s">
        <v>472</v>
      </c>
      <c r="C421" s="1" t="s">
        <v>34</v>
      </c>
      <c r="D421" s="1" t="s">
        <v>54</v>
      </c>
      <c r="E421" s="2">
        <v>45707</v>
      </c>
      <c r="F421" s="4">
        <v>45717</v>
      </c>
      <c r="G421" s="1">
        <v>4</v>
      </c>
      <c r="H421" s="1">
        <v>371</v>
      </c>
      <c r="I421" s="1" t="s">
        <v>30</v>
      </c>
      <c r="J421" s="1" t="s">
        <v>24</v>
      </c>
      <c r="K421" s="1" t="s">
        <v>49</v>
      </c>
      <c r="L421" t="str">
        <f>TEXT(Table2[[#This Row],[Order Date]],"YYY")</f>
        <v>2025</v>
      </c>
      <c r="M421" t="str">
        <f>TEXT(Table2[[#This Row],[Order Date]],"MMM")</f>
        <v>Feb</v>
      </c>
      <c r="N421" t="str">
        <f>TEXT(Table2[[#This Row],[Order Date]],"DDD")</f>
        <v>Wed</v>
      </c>
      <c r="O421">
        <f>DATEDIF(Table2[[#This Row],[Order Date]],Table2[[#This Row],[Delivered Date]],"D")</f>
        <v>10</v>
      </c>
      <c r="P421" s="10">
        <f>ROUND(Table2[[#This Row],[Quantity]]*Table2[[#This Row],[Unit Price]]*VLOOKUP(Table2[[#This Row],[Product Name]],Table_1[#All],2,FALSE),0)</f>
        <v>1039</v>
      </c>
      <c r="Q421" s="10">
        <f>Table2[[#This Row],[Quantity]]*Table2[[#This Row],[Unit Price]]</f>
        <v>1484</v>
      </c>
      <c r="R421" s="10">
        <f>Table2[[#This Row],[Sales Revenue]]-Table2[[#This Row],[Total Cost After Product Percentage Calc]]</f>
        <v>445</v>
      </c>
    </row>
    <row r="422" spans="1:18" ht="14.25" customHeight="1" x14ac:dyDescent="0.3">
      <c r="A422" s="1">
        <v>421</v>
      </c>
      <c r="B422" s="1" t="s">
        <v>473</v>
      </c>
      <c r="C422" s="1" t="s">
        <v>18</v>
      </c>
      <c r="D422" s="1" t="s">
        <v>60</v>
      </c>
      <c r="E422" s="2">
        <v>45698</v>
      </c>
      <c r="F422" s="4">
        <v>45707</v>
      </c>
      <c r="G422" s="1">
        <v>1</v>
      </c>
      <c r="H422" s="1">
        <v>200</v>
      </c>
      <c r="I422" s="1" t="s">
        <v>30</v>
      </c>
      <c r="J422" s="1" t="s">
        <v>24</v>
      </c>
      <c r="K422" s="1" t="s">
        <v>20</v>
      </c>
      <c r="L422" t="str">
        <f>TEXT(Table2[[#This Row],[Order Date]],"YYY")</f>
        <v>2025</v>
      </c>
      <c r="M422" t="str">
        <f>TEXT(Table2[[#This Row],[Order Date]],"MMM")</f>
        <v>Feb</v>
      </c>
      <c r="N422" t="str">
        <f>TEXT(Table2[[#This Row],[Order Date]],"DDD")</f>
        <v>Mon</v>
      </c>
      <c r="O422">
        <f>DATEDIF(Table2[[#This Row],[Order Date]],Table2[[#This Row],[Delivered Date]],"D")</f>
        <v>9</v>
      </c>
      <c r="P422" s="10">
        <f>ROUND(Table2[[#This Row],[Quantity]]*Table2[[#This Row],[Unit Price]]*VLOOKUP(Table2[[#This Row],[Product Name]],Table_1[#All],2,FALSE),0)</f>
        <v>110</v>
      </c>
      <c r="Q422" s="10">
        <f>Table2[[#This Row],[Quantity]]*Table2[[#This Row],[Unit Price]]</f>
        <v>200</v>
      </c>
      <c r="R422" s="10">
        <f>Table2[[#This Row],[Sales Revenue]]-Table2[[#This Row],[Total Cost After Product Percentage Calc]]</f>
        <v>90</v>
      </c>
    </row>
    <row r="423" spans="1:18" ht="14.25" customHeight="1" x14ac:dyDescent="0.3">
      <c r="A423" s="1">
        <v>422</v>
      </c>
      <c r="B423" s="1" t="s">
        <v>474</v>
      </c>
      <c r="C423" s="1" t="s">
        <v>12</v>
      </c>
      <c r="D423" s="1" t="s">
        <v>13</v>
      </c>
      <c r="E423" s="2">
        <v>45694</v>
      </c>
      <c r="F423" s="4">
        <v>45703</v>
      </c>
      <c r="G423" s="1">
        <v>3</v>
      </c>
      <c r="H423" s="1">
        <v>356</v>
      </c>
      <c r="I423" s="1" t="s">
        <v>14</v>
      </c>
      <c r="J423" s="1" t="s">
        <v>24</v>
      </c>
      <c r="K423" s="1" t="s">
        <v>49</v>
      </c>
      <c r="L423" t="str">
        <f>TEXT(Table2[[#This Row],[Order Date]],"YYY")</f>
        <v>2025</v>
      </c>
      <c r="M423" t="str">
        <f>TEXT(Table2[[#This Row],[Order Date]],"MMM")</f>
        <v>Feb</v>
      </c>
      <c r="N423" t="str">
        <f>TEXT(Table2[[#This Row],[Order Date]],"DDD")</f>
        <v>Thu</v>
      </c>
      <c r="O423">
        <f>DATEDIF(Table2[[#This Row],[Order Date]],Table2[[#This Row],[Delivered Date]],"D")</f>
        <v>9</v>
      </c>
      <c r="P423" s="10">
        <f>ROUND(Table2[[#This Row],[Quantity]]*Table2[[#This Row],[Unit Price]]*VLOOKUP(Table2[[#This Row],[Product Name]],Table_1[#All],2,FALSE),0)</f>
        <v>801</v>
      </c>
      <c r="Q423" s="10">
        <f>Table2[[#This Row],[Quantity]]*Table2[[#This Row],[Unit Price]]</f>
        <v>1068</v>
      </c>
      <c r="R423" s="10">
        <f>Table2[[#This Row],[Sales Revenue]]-Table2[[#This Row],[Total Cost After Product Percentage Calc]]</f>
        <v>267</v>
      </c>
    </row>
    <row r="424" spans="1:18" ht="14.25" customHeight="1" x14ac:dyDescent="0.3">
      <c r="A424" s="1">
        <v>423</v>
      </c>
      <c r="B424" s="1" t="s">
        <v>475</v>
      </c>
      <c r="C424" s="1" t="s">
        <v>18</v>
      </c>
      <c r="D424" s="1" t="s">
        <v>19</v>
      </c>
      <c r="E424" s="2">
        <v>45720</v>
      </c>
      <c r="F424" s="4">
        <v>45721</v>
      </c>
      <c r="G424" s="1">
        <v>4</v>
      </c>
      <c r="H424" s="1">
        <v>587</v>
      </c>
      <c r="I424" s="1" t="s">
        <v>14</v>
      </c>
      <c r="J424" s="1" t="s">
        <v>52</v>
      </c>
      <c r="K424" s="1" t="s">
        <v>49</v>
      </c>
      <c r="L424" t="str">
        <f>TEXT(Table2[[#This Row],[Order Date]],"YYY")</f>
        <v>2025</v>
      </c>
      <c r="M424" t="str">
        <f>TEXT(Table2[[#This Row],[Order Date]],"MMM")</f>
        <v>Mar</v>
      </c>
      <c r="N424" t="str">
        <f>TEXT(Table2[[#This Row],[Order Date]],"DDD")</f>
        <v>Tue</v>
      </c>
      <c r="O424">
        <f>DATEDIF(Table2[[#This Row],[Order Date]],Table2[[#This Row],[Delivered Date]],"D")</f>
        <v>1</v>
      </c>
      <c r="P424" s="10">
        <f>ROUND(Table2[[#This Row],[Quantity]]*Table2[[#This Row],[Unit Price]]*VLOOKUP(Table2[[#This Row],[Product Name]],Table_1[#All],2,FALSE),0)</f>
        <v>1174</v>
      </c>
      <c r="Q424" s="10">
        <f>Table2[[#This Row],[Quantity]]*Table2[[#This Row],[Unit Price]]</f>
        <v>2348</v>
      </c>
      <c r="R424" s="10">
        <f>Table2[[#This Row],[Sales Revenue]]-Table2[[#This Row],[Total Cost After Product Percentage Calc]]</f>
        <v>1174</v>
      </c>
    </row>
    <row r="425" spans="1:18" ht="14.25" customHeight="1" x14ac:dyDescent="0.3">
      <c r="A425" s="1">
        <v>424</v>
      </c>
      <c r="B425" s="1" t="s">
        <v>476</v>
      </c>
      <c r="C425" s="1" t="s">
        <v>18</v>
      </c>
      <c r="D425" s="1" t="s">
        <v>19</v>
      </c>
      <c r="E425" s="2">
        <v>45835</v>
      </c>
      <c r="F425" s="4">
        <v>45843</v>
      </c>
      <c r="G425" s="1">
        <v>4</v>
      </c>
      <c r="H425" s="1">
        <v>441</v>
      </c>
      <c r="I425" s="1" t="s">
        <v>14</v>
      </c>
      <c r="J425" s="1" t="s">
        <v>36</v>
      </c>
      <c r="K425" s="1" t="s">
        <v>16</v>
      </c>
      <c r="L425" t="str">
        <f>TEXT(Table2[[#This Row],[Order Date]],"YYY")</f>
        <v>2025</v>
      </c>
      <c r="M425" t="str">
        <f>TEXT(Table2[[#This Row],[Order Date]],"MMM")</f>
        <v>Jun</v>
      </c>
      <c r="N425" t="str">
        <f>TEXT(Table2[[#This Row],[Order Date]],"DDD")</f>
        <v>Fri</v>
      </c>
      <c r="O425">
        <f>DATEDIF(Table2[[#This Row],[Order Date]],Table2[[#This Row],[Delivered Date]],"D")</f>
        <v>8</v>
      </c>
      <c r="P425" s="10">
        <f>ROUND(Table2[[#This Row],[Quantity]]*Table2[[#This Row],[Unit Price]]*VLOOKUP(Table2[[#This Row],[Product Name]],Table_1[#All],2,FALSE),0)</f>
        <v>882</v>
      </c>
      <c r="Q425" s="10">
        <f>Table2[[#This Row],[Quantity]]*Table2[[#This Row],[Unit Price]]</f>
        <v>1764</v>
      </c>
      <c r="R425" s="10">
        <f>Table2[[#This Row],[Sales Revenue]]-Table2[[#This Row],[Total Cost After Product Percentage Calc]]</f>
        <v>882</v>
      </c>
    </row>
    <row r="426" spans="1:18" ht="14.25" customHeight="1" x14ac:dyDescent="0.3">
      <c r="A426" s="1">
        <v>425</v>
      </c>
      <c r="B426" s="1" t="s">
        <v>477</v>
      </c>
      <c r="C426" s="1" t="s">
        <v>18</v>
      </c>
      <c r="D426" s="1" t="s">
        <v>68</v>
      </c>
      <c r="E426" s="2">
        <v>46013</v>
      </c>
      <c r="F426" s="4">
        <v>46022</v>
      </c>
      <c r="G426" s="1">
        <v>8</v>
      </c>
      <c r="H426" s="1">
        <v>953</v>
      </c>
      <c r="I426" s="1" t="s">
        <v>14</v>
      </c>
      <c r="J426" s="1" t="s">
        <v>24</v>
      </c>
      <c r="K426" s="1" t="s">
        <v>32</v>
      </c>
      <c r="L426" t="str">
        <f>TEXT(Table2[[#This Row],[Order Date]],"YYY")</f>
        <v>2025</v>
      </c>
      <c r="M426" t="str">
        <f>TEXT(Table2[[#This Row],[Order Date]],"MMM")</f>
        <v>Dec</v>
      </c>
      <c r="N426" t="str">
        <f>TEXT(Table2[[#This Row],[Order Date]],"DDD")</f>
        <v>Mon</v>
      </c>
      <c r="O426">
        <f>DATEDIF(Table2[[#This Row],[Order Date]],Table2[[#This Row],[Delivered Date]],"D")</f>
        <v>9</v>
      </c>
      <c r="P426" s="10">
        <f>ROUND(Table2[[#This Row],[Quantity]]*Table2[[#This Row],[Unit Price]]*VLOOKUP(Table2[[#This Row],[Product Name]],Table_1[#All],2,FALSE),0)</f>
        <v>3812</v>
      </c>
      <c r="Q426" s="10">
        <f>Table2[[#This Row],[Quantity]]*Table2[[#This Row],[Unit Price]]</f>
        <v>7624</v>
      </c>
      <c r="R426" s="10">
        <f>Table2[[#This Row],[Sales Revenue]]-Table2[[#This Row],[Total Cost After Product Percentage Calc]]</f>
        <v>3812</v>
      </c>
    </row>
    <row r="427" spans="1:18" ht="14.25" customHeight="1" x14ac:dyDescent="0.3">
      <c r="A427" s="1">
        <v>426</v>
      </c>
      <c r="B427" s="1" t="s">
        <v>478</v>
      </c>
      <c r="C427" s="1" t="s">
        <v>34</v>
      </c>
      <c r="D427" s="1" t="s">
        <v>35</v>
      </c>
      <c r="E427" s="2">
        <v>45693</v>
      </c>
      <c r="F427" s="4">
        <v>45702</v>
      </c>
      <c r="G427" s="1">
        <v>10</v>
      </c>
      <c r="H427" s="1">
        <v>356</v>
      </c>
      <c r="I427" s="1" t="s">
        <v>14</v>
      </c>
      <c r="J427" s="1" t="s">
        <v>52</v>
      </c>
      <c r="K427" s="1" t="s">
        <v>49</v>
      </c>
      <c r="L427" t="str">
        <f>TEXT(Table2[[#This Row],[Order Date]],"YYY")</f>
        <v>2025</v>
      </c>
      <c r="M427" t="str">
        <f>TEXT(Table2[[#This Row],[Order Date]],"MMM")</f>
        <v>Feb</v>
      </c>
      <c r="N427" t="str">
        <f>TEXT(Table2[[#This Row],[Order Date]],"DDD")</f>
        <v>Wed</v>
      </c>
      <c r="O427">
        <f>DATEDIF(Table2[[#This Row],[Order Date]],Table2[[#This Row],[Delivered Date]],"D")</f>
        <v>9</v>
      </c>
      <c r="P427" s="10">
        <f>ROUND(Table2[[#This Row],[Quantity]]*Table2[[#This Row],[Unit Price]]*VLOOKUP(Table2[[#This Row],[Product Name]],Table_1[#All],2,FALSE),0)</f>
        <v>2670</v>
      </c>
      <c r="Q427" s="10">
        <f>Table2[[#This Row],[Quantity]]*Table2[[#This Row],[Unit Price]]</f>
        <v>3560</v>
      </c>
      <c r="R427" s="10">
        <f>Table2[[#This Row],[Sales Revenue]]-Table2[[#This Row],[Total Cost After Product Percentage Calc]]</f>
        <v>890</v>
      </c>
    </row>
    <row r="428" spans="1:18" ht="14.25" customHeight="1" x14ac:dyDescent="0.3">
      <c r="A428" s="1">
        <v>427</v>
      </c>
      <c r="B428" s="1" t="s">
        <v>479</v>
      </c>
      <c r="C428" s="1" t="s">
        <v>22</v>
      </c>
      <c r="D428" s="1" t="s">
        <v>23</v>
      </c>
      <c r="E428" s="2">
        <v>45862</v>
      </c>
      <c r="F428" s="4">
        <v>45865</v>
      </c>
      <c r="G428" s="1">
        <v>9</v>
      </c>
      <c r="H428" s="1">
        <v>855</v>
      </c>
      <c r="I428" s="1" t="s">
        <v>30</v>
      </c>
      <c r="J428" s="1" t="s">
        <v>36</v>
      </c>
      <c r="K428" s="1" t="s">
        <v>20</v>
      </c>
      <c r="L428" t="str">
        <f>TEXT(Table2[[#This Row],[Order Date]],"YYY")</f>
        <v>2025</v>
      </c>
      <c r="M428" t="str">
        <f>TEXT(Table2[[#This Row],[Order Date]],"MMM")</f>
        <v>Jul</v>
      </c>
      <c r="N428" t="str">
        <f>TEXT(Table2[[#This Row],[Order Date]],"DDD")</f>
        <v>Thu</v>
      </c>
      <c r="O428">
        <f>DATEDIF(Table2[[#This Row],[Order Date]],Table2[[#This Row],[Delivered Date]],"D")</f>
        <v>3</v>
      </c>
      <c r="P428" s="10">
        <f>ROUND(Table2[[#This Row],[Quantity]]*Table2[[#This Row],[Unit Price]]*VLOOKUP(Table2[[#This Row],[Product Name]],Table_1[#All],2,FALSE),0)</f>
        <v>5771</v>
      </c>
      <c r="Q428" s="10">
        <f>Table2[[#This Row],[Quantity]]*Table2[[#This Row],[Unit Price]]</f>
        <v>7695</v>
      </c>
      <c r="R428" s="10">
        <f>Table2[[#This Row],[Sales Revenue]]-Table2[[#This Row],[Total Cost After Product Percentage Calc]]</f>
        <v>1924</v>
      </c>
    </row>
    <row r="429" spans="1:18" ht="14.25" customHeight="1" x14ac:dyDescent="0.3">
      <c r="A429" s="1">
        <v>428</v>
      </c>
      <c r="B429" s="1" t="s">
        <v>480</v>
      </c>
      <c r="C429" s="1" t="s">
        <v>18</v>
      </c>
      <c r="D429" s="1" t="s">
        <v>68</v>
      </c>
      <c r="E429" s="2">
        <v>45773</v>
      </c>
      <c r="F429" s="4">
        <v>45787</v>
      </c>
      <c r="G429" s="1">
        <v>1</v>
      </c>
      <c r="H429" s="1">
        <v>320</v>
      </c>
      <c r="I429" s="1" t="s">
        <v>30</v>
      </c>
      <c r="J429" s="1" t="s">
        <v>15</v>
      </c>
      <c r="K429" s="1" t="s">
        <v>16</v>
      </c>
      <c r="L429" t="str">
        <f>TEXT(Table2[[#This Row],[Order Date]],"YYY")</f>
        <v>2025</v>
      </c>
      <c r="M429" t="str">
        <f>TEXT(Table2[[#This Row],[Order Date]],"MMM")</f>
        <v>Apr</v>
      </c>
      <c r="N429" t="str">
        <f>TEXT(Table2[[#This Row],[Order Date]],"DDD")</f>
        <v>Sat</v>
      </c>
      <c r="O429">
        <f>DATEDIF(Table2[[#This Row],[Order Date]],Table2[[#This Row],[Delivered Date]],"D")</f>
        <v>14</v>
      </c>
      <c r="P429" s="10">
        <f>ROUND(Table2[[#This Row],[Quantity]]*Table2[[#This Row],[Unit Price]]*VLOOKUP(Table2[[#This Row],[Product Name]],Table_1[#All],2,FALSE),0)</f>
        <v>160</v>
      </c>
      <c r="Q429" s="10">
        <f>Table2[[#This Row],[Quantity]]*Table2[[#This Row],[Unit Price]]</f>
        <v>320</v>
      </c>
      <c r="R429" s="10">
        <f>Table2[[#This Row],[Sales Revenue]]-Table2[[#This Row],[Total Cost After Product Percentage Calc]]</f>
        <v>160</v>
      </c>
    </row>
    <row r="430" spans="1:18" ht="14.25" customHeight="1" x14ac:dyDescent="0.3">
      <c r="A430" s="1">
        <v>429</v>
      </c>
      <c r="B430" s="1" t="s">
        <v>481</v>
      </c>
      <c r="C430" s="1" t="s">
        <v>22</v>
      </c>
      <c r="D430" s="1" t="s">
        <v>87</v>
      </c>
      <c r="E430" s="2">
        <v>46011</v>
      </c>
      <c r="F430" s="4">
        <v>46021</v>
      </c>
      <c r="G430" s="1">
        <v>10</v>
      </c>
      <c r="H430" s="1">
        <v>308</v>
      </c>
      <c r="I430" s="1" t="s">
        <v>30</v>
      </c>
      <c r="J430" s="1" t="s">
        <v>15</v>
      </c>
      <c r="K430" s="1" t="s">
        <v>49</v>
      </c>
      <c r="L430" t="str">
        <f>TEXT(Table2[[#This Row],[Order Date]],"YYY")</f>
        <v>2025</v>
      </c>
      <c r="M430" t="str">
        <f>TEXT(Table2[[#This Row],[Order Date]],"MMM")</f>
        <v>Dec</v>
      </c>
      <c r="N430" t="str">
        <f>TEXT(Table2[[#This Row],[Order Date]],"DDD")</f>
        <v>Sat</v>
      </c>
      <c r="O430">
        <f>DATEDIF(Table2[[#This Row],[Order Date]],Table2[[#This Row],[Delivered Date]],"D")</f>
        <v>10</v>
      </c>
      <c r="P430" s="10">
        <f>ROUND(Table2[[#This Row],[Quantity]]*Table2[[#This Row],[Unit Price]]*VLOOKUP(Table2[[#This Row],[Product Name]],Table_1[#All],2,FALSE),0)</f>
        <v>2464</v>
      </c>
      <c r="Q430" s="10">
        <f>Table2[[#This Row],[Quantity]]*Table2[[#This Row],[Unit Price]]</f>
        <v>3080</v>
      </c>
      <c r="R430" s="10">
        <f>Table2[[#This Row],[Sales Revenue]]-Table2[[#This Row],[Total Cost After Product Percentage Calc]]</f>
        <v>616</v>
      </c>
    </row>
    <row r="431" spans="1:18" ht="14.25" customHeight="1" x14ac:dyDescent="0.3">
      <c r="A431" s="1">
        <v>430</v>
      </c>
      <c r="B431" s="1" t="s">
        <v>482</v>
      </c>
      <c r="C431" s="1" t="s">
        <v>22</v>
      </c>
      <c r="D431" s="1" t="s">
        <v>23</v>
      </c>
      <c r="E431" s="2">
        <v>46007</v>
      </c>
      <c r="F431" s="4">
        <v>46020</v>
      </c>
      <c r="G431" s="1">
        <v>8</v>
      </c>
      <c r="H431" s="1">
        <v>259</v>
      </c>
      <c r="I431" s="1" t="s">
        <v>30</v>
      </c>
      <c r="J431" s="1" t="s">
        <v>24</v>
      </c>
      <c r="K431" s="1" t="s">
        <v>32</v>
      </c>
      <c r="L431" t="str">
        <f>TEXT(Table2[[#This Row],[Order Date]],"YYY")</f>
        <v>2025</v>
      </c>
      <c r="M431" t="str">
        <f>TEXT(Table2[[#This Row],[Order Date]],"MMM")</f>
        <v>Dec</v>
      </c>
      <c r="N431" t="str">
        <f>TEXT(Table2[[#This Row],[Order Date]],"DDD")</f>
        <v>Tue</v>
      </c>
      <c r="O431">
        <f>DATEDIF(Table2[[#This Row],[Order Date]],Table2[[#This Row],[Delivered Date]],"D")</f>
        <v>13</v>
      </c>
      <c r="P431" s="10">
        <f>ROUND(Table2[[#This Row],[Quantity]]*Table2[[#This Row],[Unit Price]]*VLOOKUP(Table2[[#This Row],[Product Name]],Table_1[#All],2,FALSE),0)</f>
        <v>1554</v>
      </c>
      <c r="Q431" s="10">
        <f>Table2[[#This Row],[Quantity]]*Table2[[#This Row],[Unit Price]]</f>
        <v>2072</v>
      </c>
      <c r="R431" s="10">
        <f>Table2[[#This Row],[Sales Revenue]]-Table2[[#This Row],[Total Cost After Product Percentage Calc]]</f>
        <v>518</v>
      </c>
    </row>
    <row r="432" spans="1:18" ht="14.25" customHeight="1" x14ac:dyDescent="0.3">
      <c r="A432" s="1">
        <v>431</v>
      </c>
      <c r="B432" s="1" t="s">
        <v>483</v>
      </c>
      <c r="C432" s="1" t="s">
        <v>22</v>
      </c>
      <c r="D432" s="1" t="s">
        <v>23</v>
      </c>
      <c r="E432" s="2">
        <v>45684</v>
      </c>
      <c r="F432" s="4">
        <v>45686</v>
      </c>
      <c r="G432" s="1">
        <v>8</v>
      </c>
      <c r="H432" s="1">
        <v>684</v>
      </c>
      <c r="I432" s="1" t="s">
        <v>14</v>
      </c>
      <c r="J432" s="1" t="s">
        <v>24</v>
      </c>
      <c r="K432" s="1" t="s">
        <v>32</v>
      </c>
      <c r="L432" t="str">
        <f>TEXT(Table2[[#This Row],[Order Date]],"YYY")</f>
        <v>2025</v>
      </c>
      <c r="M432" t="str">
        <f>TEXT(Table2[[#This Row],[Order Date]],"MMM")</f>
        <v>Jan</v>
      </c>
      <c r="N432" t="str">
        <f>TEXT(Table2[[#This Row],[Order Date]],"DDD")</f>
        <v>Mon</v>
      </c>
      <c r="O432">
        <f>DATEDIF(Table2[[#This Row],[Order Date]],Table2[[#This Row],[Delivered Date]],"D")</f>
        <v>2</v>
      </c>
      <c r="P432" s="10">
        <f>ROUND(Table2[[#This Row],[Quantity]]*Table2[[#This Row],[Unit Price]]*VLOOKUP(Table2[[#This Row],[Product Name]],Table_1[#All],2,FALSE),0)</f>
        <v>4104</v>
      </c>
      <c r="Q432" s="10">
        <f>Table2[[#This Row],[Quantity]]*Table2[[#This Row],[Unit Price]]</f>
        <v>5472</v>
      </c>
      <c r="R432" s="10">
        <f>Table2[[#This Row],[Sales Revenue]]-Table2[[#This Row],[Total Cost After Product Percentage Calc]]</f>
        <v>1368</v>
      </c>
    </row>
    <row r="433" spans="1:18" ht="14.25" customHeight="1" x14ac:dyDescent="0.3">
      <c r="A433" s="1">
        <v>432</v>
      </c>
      <c r="B433" s="1" t="s">
        <v>484</v>
      </c>
      <c r="C433" s="1" t="s">
        <v>22</v>
      </c>
      <c r="D433" s="1" t="s">
        <v>87</v>
      </c>
      <c r="E433" s="2">
        <v>45925</v>
      </c>
      <c r="F433" s="4">
        <v>45930</v>
      </c>
      <c r="G433" s="1">
        <v>6</v>
      </c>
      <c r="H433" s="1">
        <v>993</v>
      </c>
      <c r="I433" s="1" t="s">
        <v>30</v>
      </c>
      <c r="J433" s="1" t="s">
        <v>52</v>
      </c>
      <c r="K433" s="1" t="s">
        <v>16</v>
      </c>
      <c r="L433" t="str">
        <f>TEXT(Table2[[#This Row],[Order Date]],"YYY")</f>
        <v>2025</v>
      </c>
      <c r="M433" t="str">
        <f>TEXT(Table2[[#This Row],[Order Date]],"MMM")</f>
        <v>Sep</v>
      </c>
      <c r="N433" t="str">
        <f>TEXT(Table2[[#This Row],[Order Date]],"DDD")</f>
        <v>Thu</v>
      </c>
      <c r="O433">
        <f>DATEDIF(Table2[[#This Row],[Order Date]],Table2[[#This Row],[Delivered Date]],"D")</f>
        <v>5</v>
      </c>
      <c r="P433" s="10">
        <f>ROUND(Table2[[#This Row],[Quantity]]*Table2[[#This Row],[Unit Price]]*VLOOKUP(Table2[[#This Row],[Product Name]],Table_1[#All],2,FALSE),0)</f>
        <v>4766</v>
      </c>
      <c r="Q433" s="10">
        <f>Table2[[#This Row],[Quantity]]*Table2[[#This Row],[Unit Price]]</f>
        <v>5958</v>
      </c>
      <c r="R433" s="10">
        <f>Table2[[#This Row],[Sales Revenue]]-Table2[[#This Row],[Total Cost After Product Percentage Calc]]</f>
        <v>1192</v>
      </c>
    </row>
    <row r="434" spans="1:18" ht="14.25" customHeight="1" x14ac:dyDescent="0.3">
      <c r="A434" s="1">
        <v>433</v>
      </c>
      <c r="B434" s="1" t="s">
        <v>485</v>
      </c>
      <c r="C434" s="1" t="s">
        <v>34</v>
      </c>
      <c r="D434" s="1" t="s">
        <v>45</v>
      </c>
      <c r="E434" s="2">
        <v>45798</v>
      </c>
      <c r="F434" s="4">
        <v>45804</v>
      </c>
      <c r="G434" s="1">
        <v>1</v>
      </c>
      <c r="H434" s="1">
        <v>773</v>
      </c>
      <c r="I434" s="1" t="s">
        <v>30</v>
      </c>
      <c r="J434" s="1" t="s">
        <v>36</v>
      </c>
      <c r="K434" s="1" t="s">
        <v>16</v>
      </c>
      <c r="L434" t="str">
        <f>TEXT(Table2[[#This Row],[Order Date]],"YYY")</f>
        <v>2025</v>
      </c>
      <c r="M434" t="str">
        <f>TEXT(Table2[[#This Row],[Order Date]],"MMM")</f>
        <v>May</v>
      </c>
      <c r="N434" t="str">
        <f>TEXT(Table2[[#This Row],[Order Date]],"DDD")</f>
        <v>Wed</v>
      </c>
      <c r="O434">
        <f>DATEDIF(Table2[[#This Row],[Order Date]],Table2[[#This Row],[Delivered Date]],"D")</f>
        <v>6</v>
      </c>
      <c r="P434" s="10">
        <f>ROUND(Table2[[#This Row],[Quantity]]*Table2[[#This Row],[Unit Price]]*VLOOKUP(Table2[[#This Row],[Product Name]],Table_1[#All],2,FALSE),0)</f>
        <v>502</v>
      </c>
      <c r="Q434" s="10">
        <f>Table2[[#This Row],[Quantity]]*Table2[[#This Row],[Unit Price]]</f>
        <v>773</v>
      </c>
      <c r="R434" s="10">
        <f>Table2[[#This Row],[Sales Revenue]]-Table2[[#This Row],[Total Cost After Product Percentage Calc]]</f>
        <v>271</v>
      </c>
    </row>
    <row r="435" spans="1:18" ht="14.25" customHeight="1" x14ac:dyDescent="0.3">
      <c r="A435" s="1">
        <v>434</v>
      </c>
      <c r="B435" s="1" t="s">
        <v>486</v>
      </c>
      <c r="C435" s="1" t="s">
        <v>12</v>
      </c>
      <c r="D435" s="1" t="s">
        <v>62</v>
      </c>
      <c r="E435" s="2">
        <v>45663</v>
      </c>
      <c r="F435" s="4">
        <v>45669</v>
      </c>
      <c r="G435" s="1">
        <v>8</v>
      </c>
      <c r="H435" s="1">
        <v>527</v>
      </c>
      <c r="I435" s="1" t="s">
        <v>30</v>
      </c>
      <c r="J435" s="1" t="s">
        <v>15</v>
      </c>
      <c r="K435" s="1" t="s">
        <v>49</v>
      </c>
      <c r="L435" t="str">
        <f>TEXT(Table2[[#This Row],[Order Date]],"YYY")</f>
        <v>2025</v>
      </c>
      <c r="M435" t="str">
        <f>TEXT(Table2[[#This Row],[Order Date]],"MMM")</f>
        <v>Jan</v>
      </c>
      <c r="N435" t="str">
        <f>TEXT(Table2[[#This Row],[Order Date]],"DDD")</f>
        <v>Mon</v>
      </c>
      <c r="O435">
        <f>DATEDIF(Table2[[#This Row],[Order Date]],Table2[[#This Row],[Delivered Date]],"D")</f>
        <v>6</v>
      </c>
      <c r="P435" s="10">
        <f>ROUND(Table2[[#This Row],[Quantity]]*Table2[[#This Row],[Unit Price]]*VLOOKUP(Table2[[#This Row],[Product Name]],Table_1[#All],2,FALSE),0)</f>
        <v>3584</v>
      </c>
      <c r="Q435" s="10">
        <f>Table2[[#This Row],[Quantity]]*Table2[[#This Row],[Unit Price]]</f>
        <v>4216</v>
      </c>
      <c r="R435" s="10">
        <f>Table2[[#This Row],[Sales Revenue]]-Table2[[#This Row],[Total Cost After Product Percentage Calc]]</f>
        <v>632</v>
      </c>
    </row>
    <row r="436" spans="1:18" ht="14.25" customHeight="1" x14ac:dyDescent="0.3">
      <c r="A436" s="1">
        <v>435</v>
      </c>
      <c r="B436" s="1" t="s">
        <v>487</v>
      </c>
      <c r="C436" s="1" t="s">
        <v>22</v>
      </c>
      <c r="D436" s="1" t="s">
        <v>87</v>
      </c>
      <c r="E436" s="2">
        <v>45992</v>
      </c>
      <c r="F436" s="4">
        <v>46002</v>
      </c>
      <c r="G436" s="1">
        <v>10</v>
      </c>
      <c r="H436" s="1">
        <v>752</v>
      </c>
      <c r="I436" s="1" t="s">
        <v>14</v>
      </c>
      <c r="J436" s="1" t="s">
        <v>15</v>
      </c>
      <c r="K436" s="1" t="s">
        <v>16</v>
      </c>
      <c r="L436" t="str">
        <f>TEXT(Table2[[#This Row],[Order Date]],"YYY")</f>
        <v>2025</v>
      </c>
      <c r="M436" t="str">
        <f>TEXT(Table2[[#This Row],[Order Date]],"MMM")</f>
        <v>Dec</v>
      </c>
      <c r="N436" t="str">
        <f>TEXT(Table2[[#This Row],[Order Date]],"DDD")</f>
        <v>Mon</v>
      </c>
      <c r="O436">
        <f>DATEDIF(Table2[[#This Row],[Order Date]],Table2[[#This Row],[Delivered Date]],"D")</f>
        <v>10</v>
      </c>
      <c r="P436" s="10">
        <f>ROUND(Table2[[#This Row],[Quantity]]*Table2[[#This Row],[Unit Price]]*VLOOKUP(Table2[[#This Row],[Product Name]],Table_1[#All],2,FALSE),0)</f>
        <v>6016</v>
      </c>
      <c r="Q436" s="10">
        <f>Table2[[#This Row],[Quantity]]*Table2[[#This Row],[Unit Price]]</f>
        <v>7520</v>
      </c>
      <c r="R436" s="10">
        <f>Table2[[#This Row],[Sales Revenue]]-Table2[[#This Row],[Total Cost After Product Percentage Calc]]</f>
        <v>1504</v>
      </c>
    </row>
    <row r="437" spans="1:18" ht="14.25" customHeight="1" x14ac:dyDescent="0.3">
      <c r="A437" s="1">
        <v>436</v>
      </c>
      <c r="B437" s="1" t="s">
        <v>488</v>
      </c>
      <c r="C437" s="1" t="s">
        <v>26</v>
      </c>
      <c r="D437" s="1" t="s">
        <v>41</v>
      </c>
      <c r="E437" s="2">
        <v>45988</v>
      </c>
      <c r="F437" s="4">
        <v>45995</v>
      </c>
      <c r="G437" s="1">
        <v>1</v>
      </c>
      <c r="H437" s="1">
        <v>821</v>
      </c>
      <c r="I437" s="1" t="s">
        <v>14</v>
      </c>
      <c r="J437" s="1" t="s">
        <v>24</v>
      </c>
      <c r="K437" s="1" t="s">
        <v>16</v>
      </c>
      <c r="L437" t="str">
        <f>TEXT(Table2[[#This Row],[Order Date]],"YYY")</f>
        <v>2025</v>
      </c>
      <c r="M437" t="str">
        <f>TEXT(Table2[[#This Row],[Order Date]],"MMM")</f>
        <v>Nov</v>
      </c>
      <c r="N437" t="str">
        <f>TEXT(Table2[[#This Row],[Order Date]],"DDD")</f>
        <v>Thu</v>
      </c>
      <c r="O437">
        <f>DATEDIF(Table2[[#This Row],[Order Date]],Table2[[#This Row],[Delivered Date]],"D")</f>
        <v>7</v>
      </c>
      <c r="P437" s="10">
        <f>ROUND(Table2[[#This Row],[Quantity]]*Table2[[#This Row],[Unit Price]]*VLOOKUP(Table2[[#This Row],[Product Name]],Table_1[#All],2,FALSE),0)</f>
        <v>411</v>
      </c>
      <c r="Q437" s="10">
        <f>Table2[[#This Row],[Quantity]]*Table2[[#This Row],[Unit Price]]</f>
        <v>821</v>
      </c>
      <c r="R437" s="10">
        <f>Table2[[#This Row],[Sales Revenue]]-Table2[[#This Row],[Total Cost After Product Percentage Calc]]</f>
        <v>410</v>
      </c>
    </row>
    <row r="438" spans="1:18" ht="14.25" customHeight="1" x14ac:dyDescent="0.3">
      <c r="A438" s="1">
        <v>437</v>
      </c>
      <c r="B438" s="1" t="s">
        <v>489</v>
      </c>
      <c r="C438" s="1" t="s">
        <v>22</v>
      </c>
      <c r="D438" s="1" t="s">
        <v>58</v>
      </c>
      <c r="E438" s="2">
        <v>45928</v>
      </c>
      <c r="F438" s="4">
        <v>45934</v>
      </c>
      <c r="G438" s="1">
        <v>9</v>
      </c>
      <c r="H438" s="1">
        <v>733</v>
      </c>
      <c r="I438" s="1" t="s">
        <v>30</v>
      </c>
      <c r="J438" s="1" t="s">
        <v>31</v>
      </c>
      <c r="K438" s="1" t="s">
        <v>32</v>
      </c>
      <c r="L438" t="str">
        <f>TEXT(Table2[[#This Row],[Order Date]],"YYY")</f>
        <v>2025</v>
      </c>
      <c r="M438" t="str">
        <f>TEXT(Table2[[#This Row],[Order Date]],"MMM")</f>
        <v>Sep</v>
      </c>
      <c r="N438" t="str">
        <f>TEXT(Table2[[#This Row],[Order Date]],"DDD")</f>
        <v>Sun</v>
      </c>
      <c r="O438">
        <f>DATEDIF(Table2[[#This Row],[Order Date]],Table2[[#This Row],[Delivered Date]],"D")</f>
        <v>6</v>
      </c>
      <c r="P438" s="10">
        <f>ROUND(Table2[[#This Row],[Quantity]]*Table2[[#This Row],[Unit Price]]*VLOOKUP(Table2[[#This Row],[Product Name]],Table_1[#All],2,FALSE),0)</f>
        <v>4618</v>
      </c>
      <c r="Q438" s="10">
        <f>Table2[[#This Row],[Quantity]]*Table2[[#This Row],[Unit Price]]</f>
        <v>6597</v>
      </c>
      <c r="R438" s="10">
        <f>Table2[[#This Row],[Sales Revenue]]-Table2[[#This Row],[Total Cost After Product Percentage Calc]]</f>
        <v>1979</v>
      </c>
    </row>
    <row r="439" spans="1:18" ht="14.25" customHeight="1" x14ac:dyDescent="0.3">
      <c r="A439" s="1">
        <v>438</v>
      </c>
      <c r="B439" s="1" t="s">
        <v>490</v>
      </c>
      <c r="C439" s="1" t="s">
        <v>26</v>
      </c>
      <c r="D439" s="1" t="s">
        <v>74</v>
      </c>
      <c r="E439" s="2">
        <v>45707</v>
      </c>
      <c r="F439" s="4">
        <v>45713</v>
      </c>
      <c r="G439" s="1">
        <v>7</v>
      </c>
      <c r="H439" s="1">
        <v>471</v>
      </c>
      <c r="I439" s="1" t="s">
        <v>30</v>
      </c>
      <c r="J439" s="1" t="s">
        <v>15</v>
      </c>
      <c r="K439" s="1" t="s">
        <v>49</v>
      </c>
      <c r="L439" t="str">
        <f>TEXT(Table2[[#This Row],[Order Date]],"YYY")</f>
        <v>2025</v>
      </c>
      <c r="M439" t="str">
        <f>TEXT(Table2[[#This Row],[Order Date]],"MMM")</f>
        <v>Feb</v>
      </c>
      <c r="N439" t="str">
        <f>TEXT(Table2[[#This Row],[Order Date]],"DDD")</f>
        <v>Wed</v>
      </c>
      <c r="O439">
        <f>DATEDIF(Table2[[#This Row],[Order Date]],Table2[[#This Row],[Delivered Date]],"D")</f>
        <v>6</v>
      </c>
      <c r="P439" s="10">
        <f>ROUND(Table2[[#This Row],[Quantity]]*Table2[[#This Row],[Unit Price]]*VLOOKUP(Table2[[#This Row],[Product Name]],Table_1[#All],2,FALSE),0)</f>
        <v>1813</v>
      </c>
      <c r="Q439" s="10">
        <f>Table2[[#This Row],[Quantity]]*Table2[[#This Row],[Unit Price]]</f>
        <v>3297</v>
      </c>
      <c r="R439" s="10">
        <f>Table2[[#This Row],[Sales Revenue]]-Table2[[#This Row],[Total Cost After Product Percentage Calc]]</f>
        <v>1484</v>
      </c>
    </row>
    <row r="440" spans="1:18" ht="14.25" customHeight="1" x14ac:dyDescent="0.3">
      <c r="A440" s="1">
        <v>439</v>
      </c>
      <c r="B440" s="1" t="s">
        <v>491</v>
      </c>
      <c r="C440" s="1" t="s">
        <v>34</v>
      </c>
      <c r="D440" s="1" t="s">
        <v>45</v>
      </c>
      <c r="E440" s="2">
        <v>45738</v>
      </c>
      <c r="F440" s="4">
        <v>45745</v>
      </c>
      <c r="G440" s="1">
        <v>2</v>
      </c>
      <c r="H440" s="1">
        <v>566</v>
      </c>
      <c r="I440" s="1" t="s">
        <v>30</v>
      </c>
      <c r="J440" s="1" t="s">
        <v>31</v>
      </c>
      <c r="K440" s="1" t="s">
        <v>20</v>
      </c>
      <c r="L440" t="str">
        <f>TEXT(Table2[[#This Row],[Order Date]],"YYY")</f>
        <v>2025</v>
      </c>
      <c r="M440" t="str">
        <f>TEXT(Table2[[#This Row],[Order Date]],"MMM")</f>
        <v>Mar</v>
      </c>
      <c r="N440" t="str">
        <f>TEXT(Table2[[#This Row],[Order Date]],"DDD")</f>
        <v>Sat</v>
      </c>
      <c r="O440">
        <f>DATEDIF(Table2[[#This Row],[Order Date]],Table2[[#This Row],[Delivered Date]],"D")</f>
        <v>7</v>
      </c>
      <c r="P440" s="10">
        <f>ROUND(Table2[[#This Row],[Quantity]]*Table2[[#This Row],[Unit Price]]*VLOOKUP(Table2[[#This Row],[Product Name]],Table_1[#All],2,FALSE),0)</f>
        <v>736</v>
      </c>
      <c r="Q440" s="10">
        <f>Table2[[#This Row],[Quantity]]*Table2[[#This Row],[Unit Price]]</f>
        <v>1132</v>
      </c>
      <c r="R440" s="10">
        <f>Table2[[#This Row],[Sales Revenue]]-Table2[[#This Row],[Total Cost After Product Percentage Calc]]</f>
        <v>396</v>
      </c>
    </row>
    <row r="441" spans="1:18" ht="14.25" customHeight="1" x14ac:dyDescent="0.3">
      <c r="A441" s="1">
        <v>440</v>
      </c>
      <c r="B441" s="1" t="s">
        <v>492</v>
      </c>
      <c r="C441" s="1" t="s">
        <v>22</v>
      </c>
      <c r="D441" s="1" t="s">
        <v>23</v>
      </c>
      <c r="E441" s="2">
        <v>45839</v>
      </c>
      <c r="F441" s="4">
        <v>45846</v>
      </c>
      <c r="G441" s="1">
        <v>1</v>
      </c>
      <c r="H441" s="1">
        <v>284</v>
      </c>
      <c r="I441" s="1" t="s">
        <v>14</v>
      </c>
      <c r="J441" s="1" t="s">
        <v>31</v>
      </c>
      <c r="K441" s="1" t="s">
        <v>49</v>
      </c>
      <c r="L441" t="str">
        <f>TEXT(Table2[[#This Row],[Order Date]],"YYY")</f>
        <v>2025</v>
      </c>
      <c r="M441" t="str">
        <f>TEXT(Table2[[#This Row],[Order Date]],"MMM")</f>
        <v>Jul</v>
      </c>
      <c r="N441" t="str">
        <f>TEXT(Table2[[#This Row],[Order Date]],"DDD")</f>
        <v>Tue</v>
      </c>
      <c r="O441">
        <f>DATEDIF(Table2[[#This Row],[Order Date]],Table2[[#This Row],[Delivered Date]],"D")</f>
        <v>7</v>
      </c>
      <c r="P441" s="10">
        <f>ROUND(Table2[[#This Row],[Quantity]]*Table2[[#This Row],[Unit Price]]*VLOOKUP(Table2[[#This Row],[Product Name]],Table_1[#All],2,FALSE),0)</f>
        <v>213</v>
      </c>
      <c r="Q441" s="10">
        <f>Table2[[#This Row],[Quantity]]*Table2[[#This Row],[Unit Price]]</f>
        <v>284</v>
      </c>
      <c r="R441" s="10">
        <f>Table2[[#This Row],[Sales Revenue]]-Table2[[#This Row],[Total Cost After Product Percentage Calc]]</f>
        <v>71</v>
      </c>
    </row>
    <row r="442" spans="1:18" ht="14.25" customHeight="1" x14ac:dyDescent="0.3">
      <c r="A442" s="1">
        <v>441</v>
      </c>
      <c r="B442" s="1" t="s">
        <v>493</v>
      </c>
      <c r="C442" s="1" t="s">
        <v>12</v>
      </c>
      <c r="D442" s="1" t="s">
        <v>13</v>
      </c>
      <c r="E442" s="2">
        <v>45886</v>
      </c>
      <c r="F442" s="4">
        <v>45887</v>
      </c>
      <c r="G442" s="1">
        <v>8</v>
      </c>
      <c r="H442" s="1">
        <v>48</v>
      </c>
      <c r="I442" s="1" t="s">
        <v>14</v>
      </c>
      <c r="J442" s="1" t="s">
        <v>36</v>
      </c>
      <c r="K442" s="1" t="s">
        <v>49</v>
      </c>
      <c r="L442" t="str">
        <f>TEXT(Table2[[#This Row],[Order Date]],"YYY")</f>
        <v>2025</v>
      </c>
      <c r="M442" t="str">
        <f>TEXT(Table2[[#This Row],[Order Date]],"MMM")</f>
        <v>Aug</v>
      </c>
      <c r="N442" t="str">
        <f>TEXT(Table2[[#This Row],[Order Date]],"DDD")</f>
        <v>Sun</v>
      </c>
      <c r="O442">
        <f>DATEDIF(Table2[[#This Row],[Order Date]],Table2[[#This Row],[Delivered Date]],"D")</f>
        <v>1</v>
      </c>
      <c r="P442" s="10">
        <f>ROUND(Table2[[#This Row],[Quantity]]*Table2[[#This Row],[Unit Price]]*VLOOKUP(Table2[[#This Row],[Product Name]],Table_1[#All],2,FALSE),0)</f>
        <v>288</v>
      </c>
      <c r="Q442" s="10">
        <f>Table2[[#This Row],[Quantity]]*Table2[[#This Row],[Unit Price]]</f>
        <v>384</v>
      </c>
      <c r="R442" s="10">
        <f>Table2[[#This Row],[Sales Revenue]]-Table2[[#This Row],[Total Cost After Product Percentage Calc]]</f>
        <v>96</v>
      </c>
    </row>
    <row r="443" spans="1:18" ht="14.25" customHeight="1" x14ac:dyDescent="0.3">
      <c r="A443" s="1">
        <v>442</v>
      </c>
      <c r="B443" s="1" t="s">
        <v>494</v>
      </c>
      <c r="C443" s="1" t="s">
        <v>22</v>
      </c>
      <c r="D443" s="1" t="s">
        <v>23</v>
      </c>
      <c r="E443" s="2">
        <v>45874</v>
      </c>
      <c r="F443" s="4">
        <v>45880</v>
      </c>
      <c r="G443" s="1">
        <v>3</v>
      </c>
      <c r="H443" s="1">
        <v>262</v>
      </c>
      <c r="I443" s="1" t="s">
        <v>30</v>
      </c>
      <c r="J443" s="1" t="s">
        <v>36</v>
      </c>
      <c r="K443" s="1" t="s">
        <v>32</v>
      </c>
      <c r="L443" t="str">
        <f>TEXT(Table2[[#This Row],[Order Date]],"YYY")</f>
        <v>2025</v>
      </c>
      <c r="M443" t="str">
        <f>TEXT(Table2[[#This Row],[Order Date]],"MMM")</f>
        <v>Aug</v>
      </c>
      <c r="N443" t="str">
        <f>TEXT(Table2[[#This Row],[Order Date]],"DDD")</f>
        <v>Tue</v>
      </c>
      <c r="O443">
        <f>DATEDIF(Table2[[#This Row],[Order Date]],Table2[[#This Row],[Delivered Date]],"D")</f>
        <v>6</v>
      </c>
      <c r="P443" s="10">
        <f>ROUND(Table2[[#This Row],[Quantity]]*Table2[[#This Row],[Unit Price]]*VLOOKUP(Table2[[#This Row],[Product Name]],Table_1[#All],2,FALSE),0)</f>
        <v>590</v>
      </c>
      <c r="Q443" s="10">
        <f>Table2[[#This Row],[Quantity]]*Table2[[#This Row],[Unit Price]]</f>
        <v>786</v>
      </c>
      <c r="R443" s="10">
        <f>Table2[[#This Row],[Sales Revenue]]-Table2[[#This Row],[Total Cost After Product Percentage Calc]]</f>
        <v>196</v>
      </c>
    </row>
    <row r="444" spans="1:18" ht="14.25" customHeight="1" x14ac:dyDescent="0.3">
      <c r="A444" s="1">
        <v>443</v>
      </c>
      <c r="B444" s="1" t="s">
        <v>495</v>
      </c>
      <c r="C444" s="1" t="s">
        <v>22</v>
      </c>
      <c r="D444" s="1" t="s">
        <v>43</v>
      </c>
      <c r="E444" s="2">
        <v>45716</v>
      </c>
      <c r="F444" s="4">
        <v>45726</v>
      </c>
      <c r="G444" s="1">
        <v>8</v>
      </c>
      <c r="H444" s="1">
        <v>733</v>
      </c>
      <c r="I444" s="1" t="s">
        <v>14</v>
      </c>
      <c r="J444" s="1" t="s">
        <v>15</v>
      </c>
      <c r="K444" s="1" t="s">
        <v>49</v>
      </c>
      <c r="L444" t="str">
        <f>TEXT(Table2[[#This Row],[Order Date]],"YYY")</f>
        <v>2025</v>
      </c>
      <c r="M444" t="str">
        <f>TEXT(Table2[[#This Row],[Order Date]],"MMM")</f>
        <v>Feb</v>
      </c>
      <c r="N444" t="str">
        <f>TEXT(Table2[[#This Row],[Order Date]],"DDD")</f>
        <v>Fri</v>
      </c>
      <c r="O444">
        <f>DATEDIF(Table2[[#This Row],[Order Date]],Table2[[#This Row],[Delivered Date]],"D")</f>
        <v>10</v>
      </c>
      <c r="P444" s="10">
        <f>ROUND(Table2[[#This Row],[Quantity]]*Table2[[#This Row],[Unit Price]]*VLOOKUP(Table2[[#This Row],[Product Name]],Table_1[#All],2,FALSE),0)</f>
        <v>3812</v>
      </c>
      <c r="Q444" s="10">
        <f>Table2[[#This Row],[Quantity]]*Table2[[#This Row],[Unit Price]]</f>
        <v>5864</v>
      </c>
      <c r="R444" s="10">
        <f>Table2[[#This Row],[Sales Revenue]]-Table2[[#This Row],[Total Cost After Product Percentage Calc]]</f>
        <v>2052</v>
      </c>
    </row>
    <row r="445" spans="1:18" ht="14.25" customHeight="1" x14ac:dyDescent="0.3">
      <c r="A445" s="1">
        <v>444</v>
      </c>
      <c r="B445" s="1" t="s">
        <v>496</v>
      </c>
      <c r="C445" s="1" t="s">
        <v>22</v>
      </c>
      <c r="D445" s="1" t="s">
        <v>23</v>
      </c>
      <c r="E445" s="2">
        <v>45758</v>
      </c>
      <c r="F445" s="4">
        <v>45761</v>
      </c>
      <c r="G445" s="1">
        <v>8</v>
      </c>
      <c r="H445" s="1">
        <v>258</v>
      </c>
      <c r="I445" s="1" t="s">
        <v>14</v>
      </c>
      <c r="J445" s="1" t="s">
        <v>52</v>
      </c>
      <c r="K445" s="1" t="s">
        <v>16</v>
      </c>
      <c r="L445" t="str">
        <f>TEXT(Table2[[#This Row],[Order Date]],"YYY")</f>
        <v>2025</v>
      </c>
      <c r="M445" t="str">
        <f>TEXT(Table2[[#This Row],[Order Date]],"MMM")</f>
        <v>Apr</v>
      </c>
      <c r="N445" t="str">
        <f>TEXT(Table2[[#This Row],[Order Date]],"DDD")</f>
        <v>Fri</v>
      </c>
      <c r="O445">
        <f>DATEDIF(Table2[[#This Row],[Order Date]],Table2[[#This Row],[Delivered Date]],"D")</f>
        <v>3</v>
      </c>
      <c r="P445" s="10">
        <f>ROUND(Table2[[#This Row],[Quantity]]*Table2[[#This Row],[Unit Price]]*VLOOKUP(Table2[[#This Row],[Product Name]],Table_1[#All],2,FALSE),0)</f>
        <v>1548</v>
      </c>
      <c r="Q445" s="10">
        <f>Table2[[#This Row],[Quantity]]*Table2[[#This Row],[Unit Price]]</f>
        <v>2064</v>
      </c>
      <c r="R445" s="10">
        <f>Table2[[#This Row],[Sales Revenue]]-Table2[[#This Row],[Total Cost After Product Percentage Calc]]</f>
        <v>516</v>
      </c>
    </row>
    <row r="446" spans="1:18" ht="14.25" customHeight="1" x14ac:dyDescent="0.3">
      <c r="A446" s="1">
        <v>445</v>
      </c>
      <c r="B446" s="1" t="s">
        <v>497</v>
      </c>
      <c r="C446" s="1" t="s">
        <v>22</v>
      </c>
      <c r="D446" s="1" t="s">
        <v>23</v>
      </c>
      <c r="E446" s="2">
        <v>45742</v>
      </c>
      <c r="F446" s="4">
        <v>45748</v>
      </c>
      <c r="G446" s="1">
        <v>10</v>
      </c>
      <c r="H446" s="1">
        <v>405</v>
      </c>
      <c r="I446" s="1" t="s">
        <v>14</v>
      </c>
      <c r="J446" s="1" t="s">
        <v>36</v>
      </c>
      <c r="K446" s="1" t="s">
        <v>49</v>
      </c>
      <c r="L446" t="str">
        <f>TEXT(Table2[[#This Row],[Order Date]],"YYY")</f>
        <v>2025</v>
      </c>
      <c r="M446" t="str">
        <f>TEXT(Table2[[#This Row],[Order Date]],"MMM")</f>
        <v>Mar</v>
      </c>
      <c r="N446" t="str">
        <f>TEXT(Table2[[#This Row],[Order Date]],"DDD")</f>
        <v>Wed</v>
      </c>
      <c r="O446">
        <f>DATEDIF(Table2[[#This Row],[Order Date]],Table2[[#This Row],[Delivered Date]],"D")</f>
        <v>6</v>
      </c>
      <c r="P446" s="10">
        <f>ROUND(Table2[[#This Row],[Quantity]]*Table2[[#This Row],[Unit Price]]*VLOOKUP(Table2[[#This Row],[Product Name]],Table_1[#All],2,FALSE),0)</f>
        <v>3038</v>
      </c>
      <c r="Q446" s="10">
        <f>Table2[[#This Row],[Quantity]]*Table2[[#This Row],[Unit Price]]</f>
        <v>4050</v>
      </c>
      <c r="R446" s="10">
        <f>Table2[[#This Row],[Sales Revenue]]-Table2[[#This Row],[Total Cost After Product Percentage Calc]]</f>
        <v>1012</v>
      </c>
    </row>
    <row r="447" spans="1:18" ht="14.25" customHeight="1" x14ac:dyDescent="0.3">
      <c r="A447" s="1">
        <v>446</v>
      </c>
      <c r="B447" s="1" t="s">
        <v>498</v>
      </c>
      <c r="C447" s="1" t="s">
        <v>22</v>
      </c>
      <c r="D447" s="1" t="s">
        <v>87</v>
      </c>
      <c r="E447" s="2">
        <v>45924</v>
      </c>
      <c r="F447" s="4">
        <v>45925</v>
      </c>
      <c r="G447" s="1">
        <v>6</v>
      </c>
      <c r="H447" s="1">
        <v>252</v>
      </c>
      <c r="I447" s="1" t="s">
        <v>14</v>
      </c>
      <c r="J447" s="1" t="s">
        <v>15</v>
      </c>
      <c r="K447" s="1" t="s">
        <v>16</v>
      </c>
      <c r="L447" t="str">
        <f>TEXT(Table2[[#This Row],[Order Date]],"YYY")</f>
        <v>2025</v>
      </c>
      <c r="M447" t="str">
        <f>TEXT(Table2[[#This Row],[Order Date]],"MMM")</f>
        <v>Sep</v>
      </c>
      <c r="N447" t="str">
        <f>TEXT(Table2[[#This Row],[Order Date]],"DDD")</f>
        <v>Wed</v>
      </c>
      <c r="O447">
        <f>DATEDIF(Table2[[#This Row],[Order Date]],Table2[[#This Row],[Delivered Date]],"D")</f>
        <v>1</v>
      </c>
      <c r="P447" s="10">
        <f>ROUND(Table2[[#This Row],[Quantity]]*Table2[[#This Row],[Unit Price]]*VLOOKUP(Table2[[#This Row],[Product Name]],Table_1[#All],2,FALSE),0)</f>
        <v>1210</v>
      </c>
      <c r="Q447" s="10">
        <f>Table2[[#This Row],[Quantity]]*Table2[[#This Row],[Unit Price]]</f>
        <v>1512</v>
      </c>
      <c r="R447" s="10">
        <f>Table2[[#This Row],[Sales Revenue]]-Table2[[#This Row],[Total Cost After Product Percentage Calc]]</f>
        <v>302</v>
      </c>
    </row>
    <row r="448" spans="1:18" ht="14.25" customHeight="1" x14ac:dyDescent="0.3">
      <c r="A448" s="1">
        <v>447</v>
      </c>
      <c r="B448" s="1" t="s">
        <v>499</v>
      </c>
      <c r="C448" s="1" t="s">
        <v>34</v>
      </c>
      <c r="D448" s="1" t="s">
        <v>45</v>
      </c>
      <c r="E448" s="2">
        <v>45965</v>
      </c>
      <c r="F448" s="4">
        <v>45971</v>
      </c>
      <c r="G448" s="1">
        <v>10</v>
      </c>
      <c r="H448" s="1">
        <v>85</v>
      </c>
      <c r="I448" s="1" t="s">
        <v>14</v>
      </c>
      <c r="J448" s="1" t="s">
        <v>52</v>
      </c>
      <c r="K448" s="1" t="s">
        <v>32</v>
      </c>
      <c r="L448" t="str">
        <f>TEXT(Table2[[#This Row],[Order Date]],"YYY")</f>
        <v>2025</v>
      </c>
      <c r="M448" t="str">
        <f>TEXT(Table2[[#This Row],[Order Date]],"MMM")</f>
        <v>Nov</v>
      </c>
      <c r="N448" t="str">
        <f>TEXT(Table2[[#This Row],[Order Date]],"DDD")</f>
        <v>Tue</v>
      </c>
      <c r="O448">
        <f>DATEDIF(Table2[[#This Row],[Order Date]],Table2[[#This Row],[Delivered Date]],"D")</f>
        <v>6</v>
      </c>
      <c r="P448" s="10">
        <f>ROUND(Table2[[#This Row],[Quantity]]*Table2[[#This Row],[Unit Price]]*VLOOKUP(Table2[[#This Row],[Product Name]],Table_1[#All],2,FALSE),0)</f>
        <v>553</v>
      </c>
      <c r="Q448" s="10">
        <f>Table2[[#This Row],[Quantity]]*Table2[[#This Row],[Unit Price]]</f>
        <v>850</v>
      </c>
      <c r="R448" s="10">
        <f>Table2[[#This Row],[Sales Revenue]]-Table2[[#This Row],[Total Cost After Product Percentage Calc]]</f>
        <v>297</v>
      </c>
    </row>
    <row r="449" spans="1:18" ht="14.25" customHeight="1" x14ac:dyDescent="0.3">
      <c r="A449" s="1">
        <v>448</v>
      </c>
      <c r="B449" s="1" t="s">
        <v>500</v>
      </c>
      <c r="C449" s="1" t="s">
        <v>34</v>
      </c>
      <c r="D449" s="1" t="s">
        <v>45</v>
      </c>
      <c r="E449" s="2">
        <v>45768</v>
      </c>
      <c r="F449" s="4">
        <v>45772</v>
      </c>
      <c r="G449" s="1">
        <v>9</v>
      </c>
      <c r="H449" s="1">
        <v>67</v>
      </c>
      <c r="I449" s="1" t="s">
        <v>14</v>
      </c>
      <c r="J449" s="1" t="s">
        <v>15</v>
      </c>
      <c r="K449" s="1" t="s">
        <v>16</v>
      </c>
      <c r="L449" t="str">
        <f>TEXT(Table2[[#This Row],[Order Date]],"YYY")</f>
        <v>2025</v>
      </c>
      <c r="M449" t="str">
        <f>TEXT(Table2[[#This Row],[Order Date]],"MMM")</f>
        <v>Apr</v>
      </c>
      <c r="N449" t="str">
        <f>TEXT(Table2[[#This Row],[Order Date]],"DDD")</f>
        <v>Mon</v>
      </c>
      <c r="O449">
        <f>DATEDIF(Table2[[#This Row],[Order Date]],Table2[[#This Row],[Delivered Date]],"D")</f>
        <v>4</v>
      </c>
      <c r="P449" s="10">
        <f>ROUND(Table2[[#This Row],[Quantity]]*Table2[[#This Row],[Unit Price]]*VLOOKUP(Table2[[#This Row],[Product Name]],Table_1[#All],2,FALSE),0)</f>
        <v>392</v>
      </c>
      <c r="Q449" s="10">
        <f>Table2[[#This Row],[Quantity]]*Table2[[#This Row],[Unit Price]]</f>
        <v>603</v>
      </c>
      <c r="R449" s="10">
        <f>Table2[[#This Row],[Sales Revenue]]-Table2[[#This Row],[Total Cost After Product Percentage Calc]]</f>
        <v>211</v>
      </c>
    </row>
    <row r="450" spans="1:18" ht="14.25" customHeight="1" x14ac:dyDescent="0.3">
      <c r="A450" s="1">
        <v>449</v>
      </c>
      <c r="B450" s="1" t="s">
        <v>501</v>
      </c>
      <c r="C450" s="1" t="s">
        <v>22</v>
      </c>
      <c r="D450" s="1" t="s">
        <v>58</v>
      </c>
      <c r="E450" s="2">
        <v>45812</v>
      </c>
      <c r="F450" s="4">
        <v>45818</v>
      </c>
      <c r="G450" s="1">
        <v>3</v>
      </c>
      <c r="H450" s="1">
        <v>723</v>
      </c>
      <c r="I450" s="1" t="s">
        <v>14</v>
      </c>
      <c r="J450" s="1" t="s">
        <v>15</v>
      </c>
      <c r="K450" s="1" t="s">
        <v>49</v>
      </c>
      <c r="L450" t="str">
        <f>TEXT(Table2[[#This Row],[Order Date]],"YYY")</f>
        <v>2025</v>
      </c>
      <c r="M450" t="str">
        <f>TEXT(Table2[[#This Row],[Order Date]],"MMM")</f>
        <v>Jun</v>
      </c>
      <c r="N450" t="str">
        <f>TEXT(Table2[[#This Row],[Order Date]],"DDD")</f>
        <v>Wed</v>
      </c>
      <c r="O450">
        <f>DATEDIF(Table2[[#This Row],[Order Date]],Table2[[#This Row],[Delivered Date]],"D")</f>
        <v>6</v>
      </c>
      <c r="P450" s="10">
        <f>ROUND(Table2[[#This Row],[Quantity]]*Table2[[#This Row],[Unit Price]]*VLOOKUP(Table2[[#This Row],[Product Name]],Table_1[#All],2,FALSE),0)</f>
        <v>1518</v>
      </c>
      <c r="Q450" s="10">
        <f>Table2[[#This Row],[Quantity]]*Table2[[#This Row],[Unit Price]]</f>
        <v>2169</v>
      </c>
      <c r="R450" s="10">
        <f>Table2[[#This Row],[Sales Revenue]]-Table2[[#This Row],[Total Cost After Product Percentage Calc]]</f>
        <v>651</v>
      </c>
    </row>
    <row r="451" spans="1:18" ht="14.25" customHeight="1" x14ac:dyDescent="0.3">
      <c r="A451" s="1">
        <v>450</v>
      </c>
      <c r="B451" s="1" t="s">
        <v>502</v>
      </c>
      <c r="C451" s="1" t="s">
        <v>34</v>
      </c>
      <c r="D451" s="1" t="s">
        <v>35</v>
      </c>
      <c r="E451" s="2">
        <v>45762</v>
      </c>
      <c r="F451" s="4">
        <v>45766</v>
      </c>
      <c r="G451" s="1">
        <v>2</v>
      </c>
      <c r="H451" s="1">
        <v>919</v>
      </c>
      <c r="I451" s="1" t="s">
        <v>14</v>
      </c>
      <c r="J451" s="1" t="s">
        <v>15</v>
      </c>
      <c r="K451" s="1" t="s">
        <v>20</v>
      </c>
      <c r="L451" t="str">
        <f>TEXT(Table2[[#This Row],[Order Date]],"YYY")</f>
        <v>2025</v>
      </c>
      <c r="M451" t="str">
        <f>TEXT(Table2[[#This Row],[Order Date]],"MMM")</f>
        <v>Apr</v>
      </c>
      <c r="N451" t="str">
        <f>TEXT(Table2[[#This Row],[Order Date]],"DDD")</f>
        <v>Tue</v>
      </c>
      <c r="O451">
        <f>DATEDIF(Table2[[#This Row],[Order Date]],Table2[[#This Row],[Delivered Date]],"D")</f>
        <v>4</v>
      </c>
      <c r="P451" s="10">
        <f>ROUND(Table2[[#This Row],[Quantity]]*Table2[[#This Row],[Unit Price]]*VLOOKUP(Table2[[#This Row],[Product Name]],Table_1[#All],2,FALSE),0)</f>
        <v>1379</v>
      </c>
      <c r="Q451" s="10">
        <f>Table2[[#This Row],[Quantity]]*Table2[[#This Row],[Unit Price]]</f>
        <v>1838</v>
      </c>
      <c r="R451" s="10">
        <f>Table2[[#This Row],[Sales Revenue]]-Table2[[#This Row],[Total Cost After Product Percentage Calc]]</f>
        <v>459</v>
      </c>
    </row>
    <row r="452" spans="1:18" ht="14.25" customHeight="1" x14ac:dyDescent="0.3">
      <c r="A452" s="1">
        <v>451</v>
      </c>
      <c r="B452" s="1" t="s">
        <v>503</v>
      </c>
      <c r="C452" s="1" t="s">
        <v>12</v>
      </c>
      <c r="D452" s="1" t="s">
        <v>62</v>
      </c>
      <c r="E452" s="2">
        <v>45871</v>
      </c>
      <c r="F452" s="4">
        <v>45877</v>
      </c>
      <c r="G452" s="1">
        <v>2</v>
      </c>
      <c r="H452" s="1">
        <v>315</v>
      </c>
      <c r="I452" s="1" t="s">
        <v>14</v>
      </c>
      <c r="J452" s="1" t="s">
        <v>36</v>
      </c>
      <c r="K452" s="1" t="s">
        <v>49</v>
      </c>
      <c r="L452" t="str">
        <f>TEXT(Table2[[#This Row],[Order Date]],"YYY")</f>
        <v>2025</v>
      </c>
      <c r="M452" t="str">
        <f>TEXT(Table2[[#This Row],[Order Date]],"MMM")</f>
        <v>Aug</v>
      </c>
      <c r="N452" t="str">
        <f>TEXT(Table2[[#This Row],[Order Date]],"DDD")</f>
        <v>Sat</v>
      </c>
      <c r="O452">
        <f>DATEDIF(Table2[[#This Row],[Order Date]],Table2[[#This Row],[Delivered Date]],"D")</f>
        <v>6</v>
      </c>
      <c r="P452" s="10">
        <f>ROUND(Table2[[#This Row],[Quantity]]*Table2[[#This Row],[Unit Price]]*VLOOKUP(Table2[[#This Row],[Product Name]],Table_1[#All],2,FALSE),0)</f>
        <v>536</v>
      </c>
      <c r="Q452" s="10">
        <f>Table2[[#This Row],[Quantity]]*Table2[[#This Row],[Unit Price]]</f>
        <v>630</v>
      </c>
      <c r="R452" s="10">
        <f>Table2[[#This Row],[Sales Revenue]]-Table2[[#This Row],[Total Cost After Product Percentage Calc]]</f>
        <v>94</v>
      </c>
    </row>
    <row r="453" spans="1:18" ht="14.25" customHeight="1" x14ac:dyDescent="0.3">
      <c r="A453" s="1">
        <v>452</v>
      </c>
      <c r="B453" s="1" t="s">
        <v>504</v>
      </c>
      <c r="C453" s="1" t="s">
        <v>12</v>
      </c>
      <c r="D453" s="1" t="s">
        <v>39</v>
      </c>
      <c r="E453" s="2">
        <v>45739</v>
      </c>
      <c r="F453" s="4">
        <v>45745</v>
      </c>
      <c r="G453" s="1">
        <v>3</v>
      </c>
      <c r="H453" s="1">
        <v>561</v>
      </c>
      <c r="I453" s="1" t="s">
        <v>14</v>
      </c>
      <c r="J453" s="1" t="s">
        <v>36</v>
      </c>
      <c r="K453" s="1" t="s">
        <v>32</v>
      </c>
      <c r="L453" t="str">
        <f>TEXT(Table2[[#This Row],[Order Date]],"YYY")</f>
        <v>2025</v>
      </c>
      <c r="M453" t="str">
        <f>TEXT(Table2[[#This Row],[Order Date]],"MMM")</f>
        <v>Mar</v>
      </c>
      <c r="N453" t="str">
        <f>TEXT(Table2[[#This Row],[Order Date]],"DDD")</f>
        <v>Sun</v>
      </c>
      <c r="O453">
        <f>DATEDIF(Table2[[#This Row],[Order Date]],Table2[[#This Row],[Delivered Date]],"D")</f>
        <v>6</v>
      </c>
      <c r="P453" s="10">
        <f>ROUND(Table2[[#This Row],[Quantity]]*Table2[[#This Row],[Unit Price]]*VLOOKUP(Table2[[#This Row],[Product Name]],Table_1[#All],2,FALSE),0)</f>
        <v>1346</v>
      </c>
      <c r="Q453" s="10">
        <f>Table2[[#This Row],[Quantity]]*Table2[[#This Row],[Unit Price]]</f>
        <v>1683</v>
      </c>
      <c r="R453" s="10">
        <f>Table2[[#This Row],[Sales Revenue]]-Table2[[#This Row],[Total Cost After Product Percentage Calc]]</f>
        <v>337</v>
      </c>
    </row>
    <row r="454" spans="1:18" ht="14.25" customHeight="1" x14ac:dyDescent="0.3">
      <c r="A454" s="1">
        <v>453</v>
      </c>
      <c r="B454" s="1" t="s">
        <v>505</v>
      </c>
      <c r="C454" s="1" t="s">
        <v>12</v>
      </c>
      <c r="D454" s="1" t="s">
        <v>13</v>
      </c>
      <c r="E454" s="2">
        <v>45834</v>
      </c>
      <c r="F454" s="4">
        <v>45838</v>
      </c>
      <c r="G454" s="1">
        <v>1</v>
      </c>
      <c r="H454" s="1">
        <v>934</v>
      </c>
      <c r="I454" s="1" t="s">
        <v>14</v>
      </c>
      <c r="J454" s="1" t="s">
        <v>36</v>
      </c>
      <c r="K454" s="1" t="s">
        <v>16</v>
      </c>
      <c r="L454" t="str">
        <f>TEXT(Table2[[#This Row],[Order Date]],"YYY")</f>
        <v>2025</v>
      </c>
      <c r="M454" t="str">
        <f>TEXT(Table2[[#This Row],[Order Date]],"MMM")</f>
        <v>Jun</v>
      </c>
      <c r="N454" t="str">
        <f>TEXT(Table2[[#This Row],[Order Date]],"DDD")</f>
        <v>Thu</v>
      </c>
      <c r="O454">
        <f>DATEDIF(Table2[[#This Row],[Order Date]],Table2[[#This Row],[Delivered Date]],"D")</f>
        <v>4</v>
      </c>
      <c r="P454" s="10">
        <f>ROUND(Table2[[#This Row],[Quantity]]*Table2[[#This Row],[Unit Price]]*VLOOKUP(Table2[[#This Row],[Product Name]],Table_1[#All],2,FALSE),0)</f>
        <v>701</v>
      </c>
      <c r="Q454" s="10">
        <f>Table2[[#This Row],[Quantity]]*Table2[[#This Row],[Unit Price]]</f>
        <v>934</v>
      </c>
      <c r="R454" s="10">
        <f>Table2[[#This Row],[Sales Revenue]]-Table2[[#This Row],[Total Cost After Product Percentage Calc]]</f>
        <v>233</v>
      </c>
    </row>
    <row r="455" spans="1:18" ht="14.25" customHeight="1" x14ac:dyDescent="0.3">
      <c r="A455" s="1">
        <v>454</v>
      </c>
      <c r="B455" s="1" t="s">
        <v>506</v>
      </c>
      <c r="C455" s="1" t="s">
        <v>12</v>
      </c>
      <c r="D455" s="1" t="s">
        <v>62</v>
      </c>
      <c r="E455" s="2">
        <v>46008</v>
      </c>
      <c r="F455" s="4">
        <v>46013</v>
      </c>
      <c r="G455" s="1">
        <v>1</v>
      </c>
      <c r="H455" s="1">
        <v>979</v>
      </c>
      <c r="I455" s="1" t="s">
        <v>30</v>
      </c>
      <c r="J455" s="1" t="s">
        <v>15</v>
      </c>
      <c r="K455" s="1" t="s">
        <v>32</v>
      </c>
      <c r="L455" t="str">
        <f>TEXT(Table2[[#This Row],[Order Date]],"YYY")</f>
        <v>2025</v>
      </c>
      <c r="M455" t="str">
        <f>TEXT(Table2[[#This Row],[Order Date]],"MMM")</f>
        <v>Dec</v>
      </c>
      <c r="N455" t="str">
        <f>TEXT(Table2[[#This Row],[Order Date]],"DDD")</f>
        <v>Wed</v>
      </c>
      <c r="O455">
        <f>DATEDIF(Table2[[#This Row],[Order Date]],Table2[[#This Row],[Delivered Date]],"D")</f>
        <v>5</v>
      </c>
      <c r="P455" s="10">
        <f>ROUND(Table2[[#This Row],[Quantity]]*Table2[[#This Row],[Unit Price]]*VLOOKUP(Table2[[#This Row],[Product Name]],Table_1[#All],2,FALSE),0)</f>
        <v>832</v>
      </c>
      <c r="Q455" s="10">
        <f>Table2[[#This Row],[Quantity]]*Table2[[#This Row],[Unit Price]]</f>
        <v>979</v>
      </c>
      <c r="R455" s="10">
        <f>Table2[[#This Row],[Sales Revenue]]-Table2[[#This Row],[Total Cost After Product Percentage Calc]]</f>
        <v>147</v>
      </c>
    </row>
    <row r="456" spans="1:18" ht="14.25" customHeight="1" x14ac:dyDescent="0.3">
      <c r="A456" s="1">
        <v>455</v>
      </c>
      <c r="B456" s="1" t="s">
        <v>507</v>
      </c>
      <c r="C456" s="1" t="s">
        <v>34</v>
      </c>
      <c r="D456" s="1" t="s">
        <v>35</v>
      </c>
      <c r="E456" s="2">
        <v>45917</v>
      </c>
      <c r="F456" s="4">
        <v>45923</v>
      </c>
      <c r="G456" s="1">
        <v>1</v>
      </c>
      <c r="H456" s="1">
        <v>805</v>
      </c>
      <c r="I456" s="1" t="s">
        <v>30</v>
      </c>
      <c r="J456" s="1" t="s">
        <v>24</v>
      </c>
      <c r="K456" s="1" t="s">
        <v>32</v>
      </c>
      <c r="L456" t="str">
        <f>TEXT(Table2[[#This Row],[Order Date]],"YYY")</f>
        <v>2025</v>
      </c>
      <c r="M456" t="str">
        <f>TEXT(Table2[[#This Row],[Order Date]],"MMM")</f>
        <v>Sep</v>
      </c>
      <c r="N456" t="str">
        <f>TEXT(Table2[[#This Row],[Order Date]],"DDD")</f>
        <v>Wed</v>
      </c>
      <c r="O456">
        <f>DATEDIF(Table2[[#This Row],[Order Date]],Table2[[#This Row],[Delivered Date]],"D")</f>
        <v>6</v>
      </c>
      <c r="P456" s="10">
        <f>ROUND(Table2[[#This Row],[Quantity]]*Table2[[#This Row],[Unit Price]]*VLOOKUP(Table2[[#This Row],[Product Name]],Table_1[#All],2,FALSE),0)</f>
        <v>604</v>
      </c>
      <c r="Q456" s="10">
        <f>Table2[[#This Row],[Quantity]]*Table2[[#This Row],[Unit Price]]</f>
        <v>805</v>
      </c>
      <c r="R456" s="10">
        <f>Table2[[#This Row],[Sales Revenue]]-Table2[[#This Row],[Total Cost After Product Percentage Calc]]</f>
        <v>201</v>
      </c>
    </row>
    <row r="457" spans="1:18" ht="14.25" customHeight="1" x14ac:dyDescent="0.3">
      <c r="A457" s="1">
        <v>456</v>
      </c>
      <c r="B457" s="1" t="s">
        <v>508</v>
      </c>
      <c r="C457" s="1" t="s">
        <v>18</v>
      </c>
      <c r="D457" s="1" t="s">
        <v>19</v>
      </c>
      <c r="E457" s="2">
        <v>45666</v>
      </c>
      <c r="F457" s="4">
        <v>45673</v>
      </c>
      <c r="G457" s="1">
        <v>3</v>
      </c>
      <c r="H457" s="1">
        <v>319</v>
      </c>
      <c r="I457" s="1" t="s">
        <v>14</v>
      </c>
      <c r="J457" s="1" t="s">
        <v>15</v>
      </c>
      <c r="K457" s="1" t="s">
        <v>49</v>
      </c>
      <c r="L457" t="str">
        <f>TEXT(Table2[[#This Row],[Order Date]],"YYY")</f>
        <v>2025</v>
      </c>
      <c r="M457" t="str">
        <f>TEXT(Table2[[#This Row],[Order Date]],"MMM")</f>
        <v>Jan</v>
      </c>
      <c r="N457" t="str">
        <f>TEXT(Table2[[#This Row],[Order Date]],"DDD")</f>
        <v>Thu</v>
      </c>
      <c r="O457">
        <f>DATEDIF(Table2[[#This Row],[Order Date]],Table2[[#This Row],[Delivered Date]],"D")</f>
        <v>7</v>
      </c>
      <c r="P457" s="10">
        <f>ROUND(Table2[[#This Row],[Quantity]]*Table2[[#This Row],[Unit Price]]*VLOOKUP(Table2[[#This Row],[Product Name]],Table_1[#All],2,FALSE),0)</f>
        <v>479</v>
      </c>
      <c r="Q457" s="10">
        <f>Table2[[#This Row],[Quantity]]*Table2[[#This Row],[Unit Price]]</f>
        <v>957</v>
      </c>
      <c r="R457" s="10">
        <f>Table2[[#This Row],[Sales Revenue]]-Table2[[#This Row],[Total Cost After Product Percentage Calc]]</f>
        <v>478</v>
      </c>
    </row>
    <row r="458" spans="1:18" ht="14.25" customHeight="1" x14ac:dyDescent="0.3">
      <c r="A458" s="1">
        <v>457</v>
      </c>
      <c r="B458" s="1" t="s">
        <v>509</v>
      </c>
      <c r="C458" s="1" t="s">
        <v>18</v>
      </c>
      <c r="D458" s="1" t="s">
        <v>47</v>
      </c>
      <c r="E458" s="2">
        <v>45779</v>
      </c>
      <c r="F458" s="4">
        <v>45789</v>
      </c>
      <c r="G458" s="1">
        <v>4</v>
      </c>
      <c r="H458" s="1">
        <v>872</v>
      </c>
      <c r="I458" s="1" t="s">
        <v>14</v>
      </c>
      <c r="J458" s="1" t="s">
        <v>31</v>
      </c>
      <c r="K458" s="1" t="s">
        <v>32</v>
      </c>
      <c r="L458" t="str">
        <f>TEXT(Table2[[#This Row],[Order Date]],"YYY")</f>
        <v>2025</v>
      </c>
      <c r="M458" t="str">
        <f>TEXT(Table2[[#This Row],[Order Date]],"MMM")</f>
        <v>May</v>
      </c>
      <c r="N458" t="str">
        <f>TEXT(Table2[[#This Row],[Order Date]],"DDD")</f>
        <v>Fri</v>
      </c>
      <c r="O458">
        <f>DATEDIF(Table2[[#This Row],[Order Date]],Table2[[#This Row],[Delivered Date]],"D")</f>
        <v>10</v>
      </c>
      <c r="P458" s="10">
        <f>ROUND(Table2[[#This Row],[Quantity]]*Table2[[#This Row],[Unit Price]]*VLOOKUP(Table2[[#This Row],[Product Name]],Table_1[#All],2,FALSE),0)</f>
        <v>2093</v>
      </c>
      <c r="Q458" s="10">
        <f>Table2[[#This Row],[Quantity]]*Table2[[#This Row],[Unit Price]]</f>
        <v>3488</v>
      </c>
      <c r="R458" s="10">
        <f>Table2[[#This Row],[Sales Revenue]]-Table2[[#This Row],[Total Cost After Product Percentage Calc]]</f>
        <v>1395</v>
      </c>
    </row>
    <row r="459" spans="1:18" ht="14.25" customHeight="1" x14ac:dyDescent="0.3">
      <c r="A459" s="1">
        <v>458</v>
      </c>
      <c r="B459" s="1" t="s">
        <v>510</v>
      </c>
      <c r="C459" s="1" t="s">
        <v>26</v>
      </c>
      <c r="D459" s="1" t="s">
        <v>74</v>
      </c>
      <c r="E459" s="2">
        <v>45728</v>
      </c>
      <c r="F459" s="4">
        <v>45732</v>
      </c>
      <c r="G459" s="1">
        <v>3</v>
      </c>
      <c r="H459" s="1">
        <v>154</v>
      </c>
      <c r="I459" s="1" t="s">
        <v>30</v>
      </c>
      <c r="J459" s="1" t="s">
        <v>31</v>
      </c>
      <c r="K459" s="1" t="s">
        <v>32</v>
      </c>
      <c r="L459" t="str">
        <f>TEXT(Table2[[#This Row],[Order Date]],"YYY")</f>
        <v>2025</v>
      </c>
      <c r="M459" t="str">
        <f>TEXT(Table2[[#This Row],[Order Date]],"MMM")</f>
        <v>Mar</v>
      </c>
      <c r="N459" t="str">
        <f>TEXT(Table2[[#This Row],[Order Date]],"DDD")</f>
        <v>Wed</v>
      </c>
      <c r="O459">
        <f>DATEDIF(Table2[[#This Row],[Order Date]],Table2[[#This Row],[Delivered Date]],"D")</f>
        <v>4</v>
      </c>
      <c r="P459" s="10">
        <f>ROUND(Table2[[#This Row],[Quantity]]*Table2[[#This Row],[Unit Price]]*VLOOKUP(Table2[[#This Row],[Product Name]],Table_1[#All],2,FALSE),0)</f>
        <v>254</v>
      </c>
      <c r="Q459" s="10">
        <f>Table2[[#This Row],[Quantity]]*Table2[[#This Row],[Unit Price]]</f>
        <v>462</v>
      </c>
      <c r="R459" s="10">
        <f>Table2[[#This Row],[Sales Revenue]]-Table2[[#This Row],[Total Cost After Product Percentage Calc]]</f>
        <v>208</v>
      </c>
    </row>
    <row r="460" spans="1:18" ht="14.25" customHeight="1" x14ac:dyDescent="0.3">
      <c r="A460" s="1">
        <v>459</v>
      </c>
      <c r="B460" s="1" t="s">
        <v>511</v>
      </c>
      <c r="C460" s="1" t="s">
        <v>12</v>
      </c>
      <c r="D460" s="1" t="s">
        <v>13</v>
      </c>
      <c r="E460" s="2">
        <v>45842</v>
      </c>
      <c r="F460" s="4">
        <v>45844</v>
      </c>
      <c r="G460" s="1">
        <v>10</v>
      </c>
      <c r="H460" s="1">
        <v>674</v>
      </c>
      <c r="I460" s="1" t="s">
        <v>30</v>
      </c>
      <c r="J460" s="1" t="s">
        <v>24</v>
      </c>
      <c r="K460" s="1" t="s">
        <v>20</v>
      </c>
      <c r="L460" t="str">
        <f>TEXT(Table2[[#This Row],[Order Date]],"YYY")</f>
        <v>2025</v>
      </c>
      <c r="M460" t="str">
        <f>TEXT(Table2[[#This Row],[Order Date]],"MMM")</f>
        <v>Jul</v>
      </c>
      <c r="N460" t="str">
        <f>TEXT(Table2[[#This Row],[Order Date]],"DDD")</f>
        <v>Fri</v>
      </c>
      <c r="O460">
        <f>DATEDIF(Table2[[#This Row],[Order Date]],Table2[[#This Row],[Delivered Date]],"D")</f>
        <v>2</v>
      </c>
      <c r="P460" s="10">
        <f>ROUND(Table2[[#This Row],[Quantity]]*Table2[[#This Row],[Unit Price]]*VLOOKUP(Table2[[#This Row],[Product Name]],Table_1[#All],2,FALSE),0)</f>
        <v>5055</v>
      </c>
      <c r="Q460" s="10">
        <f>Table2[[#This Row],[Quantity]]*Table2[[#This Row],[Unit Price]]</f>
        <v>6740</v>
      </c>
      <c r="R460" s="10">
        <f>Table2[[#This Row],[Sales Revenue]]-Table2[[#This Row],[Total Cost After Product Percentage Calc]]</f>
        <v>1685</v>
      </c>
    </row>
    <row r="461" spans="1:18" ht="14.25" customHeight="1" x14ac:dyDescent="0.3">
      <c r="A461" s="1">
        <v>460</v>
      </c>
      <c r="B461" s="1" t="s">
        <v>512</v>
      </c>
      <c r="C461" s="1" t="s">
        <v>18</v>
      </c>
      <c r="D461" s="1" t="s">
        <v>19</v>
      </c>
      <c r="E461" s="2">
        <v>45925</v>
      </c>
      <c r="F461" s="4">
        <v>45930</v>
      </c>
      <c r="G461" s="1">
        <v>8</v>
      </c>
      <c r="H461" s="1">
        <v>203</v>
      </c>
      <c r="I461" s="1" t="s">
        <v>14</v>
      </c>
      <c r="J461" s="1" t="s">
        <v>52</v>
      </c>
      <c r="K461" s="1" t="s">
        <v>20</v>
      </c>
      <c r="L461" t="str">
        <f>TEXT(Table2[[#This Row],[Order Date]],"YYY")</f>
        <v>2025</v>
      </c>
      <c r="M461" t="str">
        <f>TEXT(Table2[[#This Row],[Order Date]],"MMM")</f>
        <v>Sep</v>
      </c>
      <c r="N461" t="str">
        <f>TEXT(Table2[[#This Row],[Order Date]],"DDD")</f>
        <v>Thu</v>
      </c>
      <c r="O461">
        <f>DATEDIF(Table2[[#This Row],[Order Date]],Table2[[#This Row],[Delivered Date]],"D")</f>
        <v>5</v>
      </c>
      <c r="P461" s="10">
        <f>ROUND(Table2[[#This Row],[Quantity]]*Table2[[#This Row],[Unit Price]]*VLOOKUP(Table2[[#This Row],[Product Name]],Table_1[#All],2,FALSE),0)</f>
        <v>812</v>
      </c>
      <c r="Q461" s="10">
        <f>Table2[[#This Row],[Quantity]]*Table2[[#This Row],[Unit Price]]</f>
        <v>1624</v>
      </c>
      <c r="R461" s="10">
        <f>Table2[[#This Row],[Sales Revenue]]-Table2[[#This Row],[Total Cost After Product Percentage Calc]]</f>
        <v>812</v>
      </c>
    </row>
    <row r="462" spans="1:18" ht="14.25" customHeight="1" x14ac:dyDescent="0.3">
      <c r="A462" s="1">
        <v>461</v>
      </c>
      <c r="B462" s="1" t="s">
        <v>513</v>
      </c>
      <c r="C462" s="1" t="s">
        <v>34</v>
      </c>
      <c r="D462" s="1" t="s">
        <v>54</v>
      </c>
      <c r="E462" s="2">
        <v>45759</v>
      </c>
      <c r="F462" s="4">
        <v>45765</v>
      </c>
      <c r="G462" s="1">
        <v>5</v>
      </c>
      <c r="H462" s="1">
        <v>608</v>
      </c>
      <c r="I462" s="1" t="s">
        <v>30</v>
      </c>
      <c r="J462" s="1" t="s">
        <v>15</v>
      </c>
      <c r="K462" s="1" t="s">
        <v>49</v>
      </c>
      <c r="L462" t="str">
        <f>TEXT(Table2[[#This Row],[Order Date]],"YYY")</f>
        <v>2025</v>
      </c>
      <c r="M462" t="str">
        <f>TEXT(Table2[[#This Row],[Order Date]],"MMM")</f>
        <v>Apr</v>
      </c>
      <c r="N462" t="str">
        <f>TEXT(Table2[[#This Row],[Order Date]],"DDD")</f>
        <v>Sat</v>
      </c>
      <c r="O462">
        <f>DATEDIF(Table2[[#This Row],[Order Date]],Table2[[#This Row],[Delivered Date]],"D")</f>
        <v>6</v>
      </c>
      <c r="P462" s="10">
        <f>ROUND(Table2[[#This Row],[Quantity]]*Table2[[#This Row],[Unit Price]]*VLOOKUP(Table2[[#This Row],[Product Name]],Table_1[#All],2,FALSE),0)</f>
        <v>2128</v>
      </c>
      <c r="Q462" s="10">
        <f>Table2[[#This Row],[Quantity]]*Table2[[#This Row],[Unit Price]]</f>
        <v>3040</v>
      </c>
      <c r="R462" s="10">
        <f>Table2[[#This Row],[Sales Revenue]]-Table2[[#This Row],[Total Cost After Product Percentage Calc]]</f>
        <v>912</v>
      </c>
    </row>
    <row r="463" spans="1:18" ht="14.25" customHeight="1" x14ac:dyDescent="0.3">
      <c r="A463" s="1">
        <v>462</v>
      </c>
      <c r="B463" s="1" t="s">
        <v>514</v>
      </c>
      <c r="C463" s="1" t="s">
        <v>34</v>
      </c>
      <c r="D463" s="1" t="s">
        <v>45</v>
      </c>
      <c r="E463" s="2">
        <v>45768</v>
      </c>
      <c r="F463" s="4">
        <v>45772</v>
      </c>
      <c r="G463" s="1">
        <v>5</v>
      </c>
      <c r="H463" s="1">
        <v>664</v>
      </c>
      <c r="I463" s="1" t="s">
        <v>30</v>
      </c>
      <c r="J463" s="1" t="s">
        <v>36</v>
      </c>
      <c r="K463" s="1" t="s">
        <v>20</v>
      </c>
      <c r="L463" t="str">
        <f>TEXT(Table2[[#This Row],[Order Date]],"YYY")</f>
        <v>2025</v>
      </c>
      <c r="M463" t="str">
        <f>TEXT(Table2[[#This Row],[Order Date]],"MMM")</f>
        <v>Apr</v>
      </c>
      <c r="N463" t="str">
        <f>TEXT(Table2[[#This Row],[Order Date]],"DDD")</f>
        <v>Mon</v>
      </c>
      <c r="O463">
        <f>DATEDIF(Table2[[#This Row],[Order Date]],Table2[[#This Row],[Delivered Date]],"D")</f>
        <v>4</v>
      </c>
      <c r="P463" s="10">
        <f>ROUND(Table2[[#This Row],[Quantity]]*Table2[[#This Row],[Unit Price]]*VLOOKUP(Table2[[#This Row],[Product Name]],Table_1[#All],2,FALSE),0)</f>
        <v>2158</v>
      </c>
      <c r="Q463" s="10">
        <f>Table2[[#This Row],[Quantity]]*Table2[[#This Row],[Unit Price]]</f>
        <v>3320</v>
      </c>
      <c r="R463" s="10">
        <f>Table2[[#This Row],[Sales Revenue]]-Table2[[#This Row],[Total Cost After Product Percentage Calc]]</f>
        <v>1162</v>
      </c>
    </row>
    <row r="464" spans="1:18" ht="14.25" customHeight="1" x14ac:dyDescent="0.3">
      <c r="A464" s="1">
        <v>463</v>
      </c>
      <c r="B464" s="1" t="s">
        <v>515</v>
      </c>
      <c r="C464" s="1" t="s">
        <v>34</v>
      </c>
      <c r="D464" s="1" t="s">
        <v>45</v>
      </c>
      <c r="E464" s="2">
        <v>45802</v>
      </c>
      <c r="F464" s="4">
        <v>45814</v>
      </c>
      <c r="G464" s="1">
        <v>9</v>
      </c>
      <c r="H464" s="1">
        <v>164</v>
      </c>
      <c r="I464" s="1" t="s">
        <v>30</v>
      </c>
      <c r="J464" s="1" t="s">
        <v>52</v>
      </c>
      <c r="K464" s="1" t="s">
        <v>16</v>
      </c>
      <c r="L464" t="str">
        <f>TEXT(Table2[[#This Row],[Order Date]],"YYY")</f>
        <v>2025</v>
      </c>
      <c r="M464" t="str">
        <f>TEXT(Table2[[#This Row],[Order Date]],"MMM")</f>
        <v>May</v>
      </c>
      <c r="N464" t="str">
        <f>TEXT(Table2[[#This Row],[Order Date]],"DDD")</f>
        <v>Sun</v>
      </c>
      <c r="O464">
        <f>DATEDIF(Table2[[#This Row],[Order Date]],Table2[[#This Row],[Delivered Date]],"D")</f>
        <v>12</v>
      </c>
      <c r="P464" s="10">
        <f>ROUND(Table2[[#This Row],[Quantity]]*Table2[[#This Row],[Unit Price]]*VLOOKUP(Table2[[#This Row],[Product Name]],Table_1[#All],2,FALSE),0)</f>
        <v>959</v>
      </c>
      <c r="Q464" s="10">
        <f>Table2[[#This Row],[Quantity]]*Table2[[#This Row],[Unit Price]]</f>
        <v>1476</v>
      </c>
      <c r="R464" s="10">
        <f>Table2[[#This Row],[Sales Revenue]]-Table2[[#This Row],[Total Cost After Product Percentage Calc]]</f>
        <v>517</v>
      </c>
    </row>
    <row r="465" spans="1:18" ht="14.25" customHeight="1" x14ac:dyDescent="0.3">
      <c r="A465" s="1">
        <v>464</v>
      </c>
      <c r="B465" s="1" t="s">
        <v>516</v>
      </c>
      <c r="C465" s="1" t="s">
        <v>22</v>
      </c>
      <c r="D465" s="1" t="s">
        <v>23</v>
      </c>
      <c r="E465" s="2">
        <v>45683</v>
      </c>
      <c r="F465" s="4">
        <v>45686</v>
      </c>
      <c r="G465" s="1">
        <v>4</v>
      </c>
      <c r="H465" s="1">
        <v>200</v>
      </c>
      <c r="I465" s="1" t="s">
        <v>14</v>
      </c>
      <c r="J465" s="1" t="s">
        <v>24</v>
      </c>
      <c r="K465" s="1" t="s">
        <v>49</v>
      </c>
      <c r="L465" t="str">
        <f>TEXT(Table2[[#This Row],[Order Date]],"YYY")</f>
        <v>2025</v>
      </c>
      <c r="M465" t="str">
        <f>TEXT(Table2[[#This Row],[Order Date]],"MMM")</f>
        <v>Jan</v>
      </c>
      <c r="N465" t="str">
        <f>TEXT(Table2[[#This Row],[Order Date]],"DDD")</f>
        <v>Sun</v>
      </c>
      <c r="O465">
        <f>DATEDIF(Table2[[#This Row],[Order Date]],Table2[[#This Row],[Delivered Date]],"D")</f>
        <v>3</v>
      </c>
      <c r="P465" s="10">
        <f>ROUND(Table2[[#This Row],[Quantity]]*Table2[[#This Row],[Unit Price]]*VLOOKUP(Table2[[#This Row],[Product Name]],Table_1[#All],2,FALSE),0)</f>
        <v>600</v>
      </c>
      <c r="Q465" s="10">
        <f>Table2[[#This Row],[Quantity]]*Table2[[#This Row],[Unit Price]]</f>
        <v>800</v>
      </c>
      <c r="R465" s="10">
        <f>Table2[[#This Row],[Sales Revenue]]-Table2[[#This Row],[Total Cost After Product Percentage Calc]]</f>
        <v>200</v>
      </c>
    </row>
    <row r="466" spans="1:18" ht="14.25" customHeight="1" x14ac:dyDescent="0.3">
      <c r="A466" s="1">
        <v>465</v>
      </c>
      <c r="B466" s="1" t="s">
        <v>517</v>
      </c>
      <c r="C466" s="1" t="s">
        <v>26</v>
      </c>
      <c r="D466" s="1" t="s">
        <v>41</v>
      </c>
      <c r="E466" s="2">
        <v>45793</v>
      </c>
      <c r="F466" s="4">
        <v>45802</v>
      </c>
      <c r="G466" s="1">
        <v>4</v>
      </c>
      <c r="H466" s="1">
        <v>959</v>
      </c>
      <c r="I466" s="1" t="s">
        <v>14</v>
      </c>
      <c r="J466" s="1" t="s">
        <v>31</v>
      </c>
      <c r="K466" s="1" t="s">
        <v>32</v>
      </c>
      <c r="L466" t="str">
        <f>TEXT(Table2[[#This Row],[Order Date]],"YYY")</f>
        <v>2025</v>
      </c>
      <c r="M466" t="str">
        <f>TEXT(Table2[[#This Row],[Order Date]],"MMM")</f>
        <v>May</v>
      </c>
      <c r="N466" t="str">
        <f>TEXT(Table2[[#This Row],[Order Date]],"DDD")</f>
        <v>Fri</v>
      </c>
      <c r="O466">
        <f>DATEDIF(Table2[[#This Row],[Order Date]],Table2[[#This Row],[Delivered Date]],"D")</f>
        <v>9</v>
      </c>
      <c r="P466" s="10">
        <f>ROUND(Table2[[#This Row],[Quantity]]*Table2[[#This Row],[Unit Price]]*VLOOKUP(Table2[[#This Row],[Product Name]],Table_1[#All],2,FALSE),0)</f>
        <v>1918</v>
      </c>
      <c r="Q466" s="10">
        <f>Table2[[#This Row],[Quantity]]*Table2[[#This Row],[Unit Price]]</f>
        <v>3836</v>
      </c>
      <c r="R466" s="10">
        <f>Table2[[#This Row],[Sales Revenue]]-Table2[[#This Row],[Total Cost After Product Percentage Calc]]</f>
        <v>1918</v>
      </c>
    </row>
    <row r="467" spans="1:18" ht="14.25" customHeight="1" x14ac:dyDescent="0.3">
      <c r="A467" s="1">
        <v>466</v>
      </c>
      <c r="B467" s="1" t="s">
        <v>518</v>
      </c>
      <c r="C467" s="1" t="s">
        <v>26</v>
      </c>
      <c r="D467" s="1" t="s">
        <v>41</v>
      </c>
      <c r="E467" s="2">
        <v>45942</v>
      </c>
      <c r="F467" s="4">
        <v>45945</v>
      </c>
      <c r="G467" s="1">
        <v>3</v>
      </c>
      <c r="H467" s="1">
        <v>960</v>
      </c>
      <c r="I467" s="1" t="s">
        <v>14</v>
      </c>
      <c r="J467" s="1" t="s">
        <v>52</v>
      </c>
      <c r="K467" s="1" t="s">
        <v>49</v>
      </c>
      <c r="L467" t="str">
        <f>TEXT(Table2[[#This Row],[Order Date]],"YYY")</f>
        <v>2025</v>
      </c>
      <c r="M467" t="str">
        <f>TEXT(Table2[[#This Row],[Order Date]],"MMM")</f>
        <v>Oct</v>
      </c>
      <c r="N467" t="str">
        <f>TEXT(Table2[[#This Row],[Order Date]],"DDD")</f>
        <v>Sun</v>
      </c>
      <c r="O467">
        <f>DATEDIF(Table2[[#This Row],[Order Date]],Table2[[#This Row],[Delivered Date]],"D")</f>
        <v>3</v>
      </c>
      <c r="P467" s="10">
        <f>ROUND(Table2[[#This Row],[Quantity]]*Table2[[#This Row],[Unit Price]]*VLOOKUP(Table2[[#This Row],[Product Name]],Table_1[#All],2,FALSE),0)</f>
        <v>1440</v>
      </c>
      <c r="Q467" s="10">
        <f>Table2[[#This Row],[Quantity]]*Table2[[#This Row],[Unit Price]]</f>
        <v>2880</v>
      </c>
      <c r="R467" s="10">
        <f>Table2[[#This Row],[Sales Revenue]]-Table2[[#This Row],[Total Cost After Product Percentage Calc]]</f>
        <v>1440</v>
      </c>
    </row>
    <row r="468" spans="1:18" ht="14.25" customHeight="1" x14ac:dyDescent="0.3">
      <c r="A468" s="1">
        <v>467</v>
      </c>
      <c r="B468" s="1" t="s">
        <v>519</v>
      </c>
      <c r="C468" s="1" t="s">
        <v>26</v>
      </c>
      <c r="D468" s="1" t="s">
        <v>74</v>
      </c>
      <c r="E468" s="2">
        <v>45878</v>
      </c>
      <c r="F468" s="4">
        <v>45882</v>
      </c>
      <c r="G468" s="1">
        <v>1</v>
      </c>
      <c r="H468" s="1">
        <v>269</v>
      </c>
      <c r="I468" s="1" t="s">
        <v>14</v>
      </c>
      <c r="J468" s="1" t="s">
        <v>31</v>
      </c>
      <c r="K468" s="1" t="s">
        <v>16</v>
      </c>
      <c r="L468" t="str">
        <f>TEXT(Table2[[#This Row],[Order Date]],"YYY")</f>
        <v>2025</v>
      </c>
      <c r="M468" t="str">
        <f>TEXT(Table2[[#This Row],[Order Date]],"MMM")</f>
        <v>Aug</v>
      </c>
      <c r="N468" t="str">
        <f>TEXT(Table2[[#This Row],[Order Date]],"DDD")</f>
        <v>Sat</v>
      </c>
      <c r="O468">
        <f>DATEDIF(Table2[[#This Row],[Order Date]],Table2[[#This Row],[Delivered Date]],"D")</f>
        <v>4</v>
      </c>
      <c r="P468" s="10">
        <f>ROUND(Table2[[#This Row],[Quantity]]*Table2[[#This Row],[Unit Price]]*VLOOKUP(Table2[[#This Row],[Product Name]],Table_1[#All],2,FALSE),0)</f>
        <v>148</v>
      </c>
      <c r="Q468" s="10">
        <f>Table2[[#This Row],[Quantity]]*Table2[[#This Row],[Unit Price]]</f>
        <v>269</v>
      </c>
      <c r="R468" s="10">
        <f>Table2[[#This Row],[Sales Revenue]]-Table2[[#This Row],[Total Cost After Product Percentage Calc]]</f>
        <v>121</v>
      </c>
    </row>
    <row r="469" spans="1:18" ht="14.25" customHeight="1" x14ac:dyDescent="0.3">
      <c r="A469" s="1">
        <v>468</v>
      </c>
      <c r="B469" s="1" t="s">
        <v>520</v>
      </c>
      <c r="C469" s="1" t="s">
        <v>12</v>
      </c>
      <c r="D469" s="1" t="s">
        <v>29</v>
      </c>
      <c r="E469" s="2">
        <v>45680</v>
      </c>
      <c r="F469" s="4">
        <v>45689</v>
      </c>
      <c r="G469" s="1">
        <v>9</v>
      </c>
      <c r="H469" s="1">
        <v>498</v>
      </c>
      <c r="I469" s="1" t="s">
        <v>14</v>
      </c>
      <c r="J469" s="1" t="s">
        <v>15</v>
      </c>
      <c r="K469" s="1" t="s">
        <v>49</v>
      </c>
      <c r="L469" t="str">
        <f>TEXT(Table2[[#This Row],[Order Date]],"YYY")</f>
        <v>2025</v>
      </c>
      <c r="M469" t="str">
        <f>TEXT(Table2[[#This Row],[Order Date]],"MMM")</f>
        <v>Jan</v>
      </c>
      <c r="N469" t="str">
        <f>TEXT(Table2[[#This Row],[Order Date]],"DDD")</f>
        <v>Thu</v>
      </c>
      <c r="O469">
        <f>DATEDIF(Table2[[#This Row],[Order Date]],Table2[[#This Row],[Delivered Date]],"D")</f>
        <v>9</v>
      </c>
      <c r="P469" s="10">
        <f>ROUND(Table2[[#This Row],[Quantity]]*Table2[[#This Row],[Unit Price]]*VLOOKUP(Table2[[#This Row],[Product Name]],Table_1[#All],2,FALSE),0)</f>
        <v>2913</v>
      </c>
      <c r="Q469" s="10">
        <f>Table2[[#This Row],[Quantity]]*Table2[[#This Row],[Unit Price]]</f>
        <v>4482</v>
      </c>
      <c r="R469" s="10">
        <f>Table2[[#This Row],[Sales Revenue]]-Table2[[#This Row],[Total Cost After Product Percentage Calc]]</f>
        <v>1569</v>
      </c>
    </row>
    <row r="470" spans="1:18" ht="14.25" customHeight="1" x14ac:dyDescent="0.3">
      <c r="A470" s="1">
        <v>469</v>
      </c>
      <c r="B470" s="1" t="s">
        <v>521</v>
      </c>
      <c r="C470" s="1" t="s">
        <v>22</v>
      </c>
      <c r="D470" s="1" t="s">
        <v>87</v>
      </c>
      <c r="E470" s="2">
        <v>45736</v>
      </c>
      <c r="F470" s="4">
        <v>45743</v>
      </c>
      <c r="G470" s="1">
        <v>6</v>
      </c>
      <c r="H470" s="1">
        <v>662</v>
      </c>
      <c r="I470" s="1" t="s">
        <v>14</v>
      </c>
      <c r="J470" s="1" t="s">
        <v>31</v>
      </c>
      <c r="K470" s="1" t="s">
        <v>49</v>
      </c>
      <c r="L470" t="str">
        <f>TEXT(Table2[[#This Row],[Order Date]],"YYY")</f>
        <v>2025</v>
      </c>
      <c r="M470" t="str">
        <f>TEXT(Table2[[#This Row],[Order Date]],"MMM")</f>
        <v>Mar</v>
      </c>
      <c r="N470" t="str">
        <f>TEXT(Table2[[#This Row],[Order Date]],"DDD")</f>
        <v>Thu</v>
      </c>
      <c r="O470">
        <f>DATEDIF(Table2[[#This Row],[Order Date]],Table2[[#This Row],[Delivered Date]],"D")</f>
        <v>7</v>
      </c>
      <c r="P470" s="10">
        <f>ROUND(Table2[[#This Row],[Quantity]]*Table2[[#This Row],[Unit Price]]*VLOOKUP(Table2[[#This Row],[Product Name]],Table_1[#All],2,FALSE),0)</f>
        <v>3178</v>
      </c>
      <c r="Q470" s="10">
        <f>Table2[[#This Row],[Quantity]]*Table2[[#This Row],[Unit Price]]</f>
        <v>3972</v>
      </c>
      <c r="R470" s="10">
        <f>Table2[[#This Row],[Sales Revenue]]-Table2[[#This Row],[Total Cost After Product Percentage Calc]]</f>
        <v>794</v>
      </c>
    </row>
    <row r="471" spans="1:18" ht="14.25" customHeight="1" x14ac:dyDescent="0.3">
      <c r="A471" s="1">
        <v>470</v>
      </c>
      <c r="B471" s="1" t="s">
        <v>522</v>
      </c>
      <c r="C471" s="1" t="s">
        <v>26</v>
      </c>
      <c r="D471" s="1" t="s">
        <v>41</v>
      </c>
      <c r="E471" s="2">
        <v>45681</v>
      </c>
      <c r="F471" s="4">
        <v>45691</v>
      </c>
      <c r="G471" s="1">
        <v>1</v>
      </c>
      <c r="H471" s="1">
        <v>909</v>
      </c>
      <c r="I471" s="1" t="s">
        <v>30</v>
      </c>
      <c r="J471" s="1" t="s">
        <v>36</v>
      </c>
      <c r="K471" s="1" t="s">
        <v>16</v>
      </c>
      <c r="L471" t="str">
        <f>TEXT(Table2[[#This Row],[Order Date]],"YYY")</f>
        <v>2025</v>
      </c>
      <c r="M471" t="str">
        <f>TEXT(Table2[[#This Row],[Order Date]],"MMM")</f>
        <v>Jan</v>
      </c>
      <c r="N471" t="str">
        <f>TEXT(Table2[[#This Row],[Order Date]],"DDD")</f>
        <v>Fri</v>
      </c>
      <c r="O471">
        <f>DATEDIF(Table2[[#This Row],[Order Date]],Table2[[#This Row],[Delivered Date]],"D")</f>
        <v>10</v>
      </c>
      <c r="P471" s="10">
        <f>ROUND(Table2[[#This Row],[Quantity]]*Table2[[#This Row],[Unit Price]]*VLOOKUP(Table2[[#This Row],[Product Name]],Table_1[#All],2,FALSE),0)</f>
        <v>455</v>
      </c>
      <c r="Q471" s="10">
        <f>Table2[[#This Row],[Quantity]]*Table2[[#This Row],[Unit Price]]</f>
        <v>909</v>
      </c>
      <c r="R471" s="10">
        <f>Table2[[#This Row],[Sales Revenue]]-Table2[[#This Row],[Total Cost After Product Percentage Calc]]</f>
        <v>454</v>
      </c>
    </row>
    <row r="472" spans="1:18" ht="14.25" customHeight="1" x14ac:dyDescent="0.3">
      <c r="A472" s="1">
        <v>471</v>
      </c>
      <c r="B472" s="1" t="s">
        <v>523</v>
      </c>
      <c r="C472" s="1" t="s">
        <v>34</v>
      </c>
      <c r="D472" s="1" t="s">
        <v>35</v>
      </c>
      <c r="E472" s="2">
        <v>46012</v>
      </c>
      <c r="F472" s="4">
        <v>46015</v>
      </c>
      <c r="G472" s="1">
        <v>8</v>
      </c>
      <c r="H472" s="1">
        <v>189</v>
      </c>
      <c r="I472" s="1" t="s">
        <v>14</v>
      </c>
      <c r="J472" s="1" t="s">
        <v>15</v>
      </c>
      <c r="K472" s="1" t="s">
        <v>32</v>
      </c>
      <c r="L472" t="str">
        <f>TEXT(Table2[[#This Row],[Order Date]],"YYY")</f>
        <v>2025</v>
      </c>
      <c r="M472" t="str">
        <f>TEXT(Table2[[#This Row],[Order Date]],"MMM")</f>
        <v>Dec</v>
      </c>
      <c r="N472" t="str">
        <f>TEXT(Table2[[#This Row],[Order Date]],"DDD")</f>
        <v>Sun</v>
      </c>
      <c r="O472">
        <f>DATEDIF(Table2[[#This Row],[Order Date]],Table2[[#This Row],[Delivered Date]],"D")</f>
        <v>3</v>
      </c>
      <c r="P472" s="10">
        <f>ROUND(Table2[[#This Row],[Quantity]]*Table2[[#This Row],[Unit Price]]*VLOOKUP(Table2[[#This Row],[Product Name]],Table_1[#All],2,FALSE),0)</f>
        <v>1134</v>
      </c>
      <c r="Q472" s="10">
        <f>Table2[[#This Row],[Quantity]]*Table2[[#This Row],[Unit Price]]</f>
        <v>1512</v>
      </c>
      <c r="R472" s="10">
        <f>Table2[[#This Row],[Sales Revenue]]-Table2[[#This Row],[Total Cost After Product Percentage Calc]]</f>
        <v>378</v>
      </c>
    </row>
    <row r="473" spans="1:18" ht="14.25" customHeight="1" x14ac:dyDescent="0.3">
      <c r="A473" s="1">
        <v>472</v>
      </c>
      <c r="B473" s="1" t="s">
        <v>524</v>
      </c>
      <c r="C473" s="1" t="s">
        <v>26</v>
      </c>
      <c r="D473" s="1" t="s">
        <v>27</v>
      </c>
      <c r="E473" s="2">
        <v>45770</v>
      </c>
      <c r="F473" s="4">
        <v>45779</v>
      </c>
      <c r="G473" s="1">
        <v>4</v>
      </c>
      <c r="H473" s="1">
        <v>689</v>
      </c>
      <c r="I473" s="1" t="s">
        <v>30</v>
      </c>
      <c r="J473" s="1" t="s">
        <v>24</v>
      </c>
      <c r="K473" s="1" t="s">
        <v>20</v>
      </c>
      <c r="L473" t="str">
        <f>TEXT(Table2[[#This Row],[Order Date]],"YYY")</f>
        <v>2025</v>
      </c>
      <c r="M473" t="str">
        <f>TEXT(Table2[[#This Row],[Order Date]],"MMM")</f>
        <v>Apr</v>
      </c>
      <c r="N473" t="str">
        <f>TEXT(Table2[[#This Row],[Order Date]],"DDD")</f>
        <v>Wed</v>
      </c>
      <c r="O473">
        <f>DATEDIF(Table2[[#This Row],[Order Date]],Table2[[#This Row],[Delivered Date]],"D")</f>
        <v>9</v>
      </c>
      <c r="P473" s="10">
        <f>ROUND(Table2[[#This Row],[Quantity]]*Table2[[#This Row],[Unit Price]]*VLOOKUP(Table2[[#This Row],[Product Name]],Table_1[#All],2,FALSE),0)</f>
        <v>1516</v>
      </c>
      <c r="Q473" s="10">
        <f>Table2[[#This Row],[Quantity]]*Table2[[#This Row],[Unit Price]]</f>
        <v>2756</v>
      </c>
      <c r="R473" s="10">
        <f>Table2[[#This Row],[Sales Revenue]]-Table2[[#This Row],[Total Cost After Product Percentage Calc]]</f>
        <v>1240</v>
      </c>
    </row>
    <row r="474" spans="1:18" ht="14.25" customHeight="1" x14ac:dyDescent="0.3">
      <c r="A474" s="1">
        <v>473</v>
      </c>
      <c r="B474" s="1" t="s">
        <v>525</v>
      </c>
      <c r="C474" s="1" t="s">
        <v>18</v>
      </c>
      <c r="D474" s="1" t="s">
        <v>47</v>
      </c>
      <c r="E474" s="2">
        <v>45921</v>
      </c>
      <c r="F474" s="4">
        <v>45928</v>
      </c>
      <c r="G474" s="1">
        <v>9</v>
      </c>
      <c r="H474" s="1">
        <v>485</v>
      </c>
      <c r="I474" s="1" t="s">
        <v>30</v>
      </c>
      <c r="J474" s="1" t="s">
        <v>31</v>
      </c>
      <c r="K474" s="1" t="s">
        <v>32</v>
      </c>
      <c r="L474" t="str">
        <f>TEXT(Table2[[#This Row],[Order Date]],"YYY")</f>
        <v>2025</v>
      </c>
      <c r="M474" t="str">
        <f>TEXT(Table2[[#This Row],[Order Date]],"MMM")</f>
        <v>Sep</v>
      </c>
      <c r="N474" t="str">
        <f>TEXT(Table2[[#This Row],[Order Date]],"DDD")</f>
        <v>Sun</v>
      </c>
      <c r="O474">
        <f>DATEDIF(Table2[[#This Row],[Order Date]],Table2[[#This Row],[Delivered Date]],"D")</f>
        <v>7</v>
      </c>
      <c r="P474" s="10">
        <f>ROUND(Table2[[#This Row],[Quantity]]*Table2[[#This Row],[Unit Price]]*VLOOKUP(Table2[[#This Row],[Product Name]],Table_1[#All],2,FALSE),0)</f>
        <v>2619</v>
      </c>
      <c r="Q474" s="10">
        <f>Table2[[#This Row],[Quantity]]*Table2[[#This Row],[Unit Price]]</f>
        <v>4365</v>
      </c>
      <c r="R474" s="10">
        <f>Table2[[#This Row],[Sales Revenue]]-Table2[[#This Row],[Total Cost After Product Percentage Calc]]</f>
        <v>1746</v>
      </c>
    </row>
    <row r="475" spans="1:18" ht="14.25" customHeight="1" x14ac:dyDescent="0.3">
      <c r="A475" s="1">
        <v>474</v>
      </c>
      <c r="B475" s="1" t="s">
        <v>526</v>
      </c>
      <c r="C475" s="1" t="s">
        <v>26</v>
      </c>
      <c r="D475" s="1" t="s">
        <v>27</v>
      </c>
      <c r="E475" s="2">
        <v>45909</v>
      </c>
      <c r="F475" s="4">
        <v>45911</v>
      </c>
      <c r="G475" s="1">
        <v>2</v>
      </c>
      <c r="H475" s="1">
        <v>31</v>
      </c>
      <c r="I475" s="1" t="s">
        <v>30</v>
      </c>
      <c r="J475" s="1" t="s">
        <v>52</v>
      </c>
      <c r="K475" s="1" t="s">
        <v>16</v>
      </c>
      <c r="L475" t="str">
        <f>TEXT(Table2[[#This Row],[Order Date]],"YYY")</f>
        <v>2025</v>
      </c>
      <c r="M475" t="str">
        <f>TEXT(Table2[[#This Row],[Order Date]],"MMM")</f>
        <v>Sep</v>
      </c>
      <c r="N475" t="str">
        <f>TEXT(Table2[[#This Row],[Order Date]],"DDD")</f>
        <v>Tue</v>
      </c>
      <c r="O475">
        <f>DATEDIF(Table2[[#This Row],[Order Date]],Table2[[#This Row],[Delivered Date]],"D")</f>
        <v>2</v>
      </c>
      <c r="P475" s="10">
        <f>ROUND(Table2[[#This Row],[Quantity]]*Table2[[#This Row],[Unit Price]]*VLOOKUP(Table2[[#This Row],[Product Name]],Table_1[#All],2,FALSE),0)</f>
        <v>34</v>
      </c>
      <c r="Q475" s="10">
        <f>Table2[[#This Row],[Quantity]]*Table2[[#This Row],[Unit Price]]</f>
        <v>62</v>
      </c>
      <c r="R475" s="10">
        <f>Table2[[#This Row],[Sales Revenue]]-Table2[[#This Row],[Total Cost After Product Percentage Calc]]</f>
        <v>28</v>
      </c>
    </row>
    <row r="476" spans="1:18" ht="14.25" customHeight="1" x14ac:dyDescent="0.3">
      <c r="A476" s="1">
        <v>475</v>
      </c>
      <c r="B476" s="1" t="s">
        <v>527</v>
      </c>
      <c r="C476" s="1" t="s">
        <v>18</v>
      </c>
      <c r="D476" s="1" t="s">
        <v>60</v>
      </c>
      <c r="E476" s="2">
        <v>45912</v>
      </c>
      <c r="F476" s="4">
        <v>45914</v>
      </c>
      <c r="G476" s="1">
        <v>6</v>
      </c>
      <c r="H476" s="1">
        <v>806</v>
      </c>
      <c r="I476" s="1" t="s">
        <v>14</v>
      </c>
      <c r="J476" s="1" t="s">
        <v>36</v>
      </c>
      <c r="K476" s="1" t="s">
        <v>16</v>
      </c>
      <c r="L476" t="str">
        <f>TEXT(Table2[[#This Row],[Order Date]],"YYY")</f>
        <v>2025</v>
      </c>
      <c r="M476" t="str">
        <f>TEXT(Table2[[#This Row],[Order Date]],"MMM")</f>
        <v>Sep</v>
      </c>
      <c r="N476" t="str">
        <f>TEXT(Table2[[#This Row],[Order Date]],"DDD")</f>
        <v>Fri</v>
      </c>
      <c r="O476">
        <f>DATEDIF(Table2[[#This Row],[Order Date]],Table2[[#This Row],[Delivered Date]],"D")</f>
        <v>2</v>
      </c>
      <c r="P476" s="10">
        <f>ROUND(Table2[[#This Row],[Quantity]]*Table2[[#This Row],[Unit Price]]*VLOOKUP(Table2[[#This Row],[Product Name]],Table_1[#All],2,FALSE),0)</f>
        <v>2660</v>
      </c>
      <c r="Q476" s="10">
        <f>Table2[[#This Row],[Quantity]]*Table2[[#This Row],[Unit Price]]</f>
        <v>4836</v>
      </c>
      <c r="R476" s="10">
        <f>Table2[[#This Row],[Sales Revenue]]-Table2[[#This Row],[Total Cost After Product Percentage Calc]]</f>
        <v>2176</v>
      </c>
    </row>
    <row r="477" spans="1:18" ht="14.25" customHeight="1" x14ac:dyDescent="0.3">
      <c r="A477" s="1">
        <v>476</v>
      </c>
      <c r="B477" s="1" t="s">
        <v>528</v>
      </c>
      <c r="C477" s="1" t="s">
        <v>34</v>
      </c>
      <c r="D477" s="1" t="s">
        <v>45</v>
      </c>
      <c r="E477" s="2">
        <v>45938</v>
      </c>
      <c r="F477" s="4">
        <v>45940</v>
      </c>
      <c r="G477" s="1">
        <v>5</v>
      </c>
      <c r="H477" s="1">
        <v>720</v>
      </c>
      <c r="I477" s="1" t="s">
        <v>14</v>
      </c>
      <c r="J477" s="1" t="s">
        <v>15</v>
      </c>
      <c r="K477" s="1" t="s">
        <v>32</v>
      </c>
      <c r="L477" t="str">
        <f>TEXT(Table2[[#This Row],[Order Date]],"YYY")</f>
        <v>2025</v>
      </c>
      <c r="M477" t="str">
        <f>TEXT(Table2[[#This Row],[Order Date]],"MMM")</f>
        <v>Oct</v>
      </c>
      <c r="N477" t="str">
        <f>TEXT(Table2[[#This Row],[Order Date]],"DDD")</f>
        <v>Wed</v>
      </c>
      <c r="O477">
        <f>DATEDIF(Table2[[#This Row],[Order Date]],Table2[[#This Row],[Delivered Date]],"D")</f>
        <v>2</v>
      </c>
      <c r="P477" s="10">
        <f>ROUND(Table2[[#This Row],[Quantity]]*Table2[[#This Row],[Unit Price]]*VLOOKUP(Table2[[#This Row],[Product Name]],Table_1[#All],2,FALSE),0)</f>
        <v>2340</v>
      </c>
      <c r="Q477" s="10">
        <f>Table2[[#This Row],[Quantity]]*Table2[[#This Row],[Unit Price]]</f>
        <v>3600</v>
      </c>
      <c r="R477" s="10">
        <f>Table2[[#This Row],[Sales Revenue]]-Table2[[#This Row],[Total Cost After Product Percentage Calc]]</f>
        <v>1260</v>
      </c>
    </row>
    <row r="478" spans="1:18" ht="14.25" customHeight="1" x14ac:dyDescent="0.3">
      <c r="A478" s="1">
        <v>477</v>
      </c>
      <c r="B478" s="1" t="s">
        <v>529</v>
      </c>
      <c r="C478" s="1" t="s">
        <v>34</v>
      </c>
      <c r="D478" s="1" t="s">
        <v>45</v>
      </c>
      <c r="E478" s="2">
        <v>45855</v>
      </c>
      <c r="F478" s="4">
        <v>45861</v>
      </c>
      <c r="G478" s="1">
        <v>2</v>
      </c>
      <c r="H478" s="1">
        <v>420</v>
      </c>
      <c r="I478" s="1" t="s">
        <v>14</v>
      </c>
      <c r="J478" s="1" t="s">
        <v>24</v>
      </c>
      <c r="K478" s="1" t="s">
        <v>49</v>
      </c>
      <c r="L478" t="str">
        <f>TEXT(Table2[[#This Row],[Order Date]],"YYY")</f>
        <v>2025</v>
      </c>
      <c r="M478" t="str">
        <f>TEXT(Table2[[#This Row],[Order Date]],"MMM")</f>
        <v>Jul</v>
      </c>
      <c r="N478" t="str">
        <f>TEXT(Table2[[#This Row],[Order Date]],"DDD")</f>
        <v>Thu</v>
      </c>
      <c r="O478">
        <f>DATEDIF(Table2[[#This Row],[Order Date]],Table2[[#This Row],[Delivered Date]],"D")</f>
        <v>6</v>
      </c>
      <c r="P478" s="10">
        <f>ROUND(Table2[[#This Row],[Quantity]]*Table2[[#This Row],[Unit Price]]*VLOOKUP(Table2[[#This Row],[Product Name]],Table_1[#All],2,FALSE),0)</f>
        <v>546</v>
      </c>
      <c r="Q478" s="10">
        <f>Table2[[#This Row],[Quantity]]*Table2[[#This Row],[Unit Price]]</f>
        <v>840</v>
      </c>
      <c r="R478" s="10">
        <f>Table2[[#This Row],[Sales Revenue]]-Table2[[#This Row],[Total Cost After Product Percentage Calc]]</f>
        <v>294</v>
      </c>
    </row>
    <row r="479" spans="1:18" ht="14.25" customHeight="1" x14ac:dyDescent="0.3">
      <c r="A479" s="1">
        <v>478</v>
      </c>
      <c r="B479" s="1" t="s">
        <v>530</v>
      </c>
      <c r="C479" s="1" t="s">
        <v>26</v>
      </c>
      <c r="D479" s="1" t="s">
        <v>74</v>
      </c>
      <c r="E479" s="2">
        <v>46007</v>
      </c>
      <c r="F479" s="4">
        <v>46017</v>
      </c>
      <c r="G479" s="1">
        <v>3</v>
      </c>
      <c r="H479" s="1">
        <v>10</v>
      </c>
      <c r="I479" s="1" t="s">
        <v>14</v>
      </c>
      <c r="J479" s="1" t="s">
        <v>36</v>
      </c>
      <c r="K479" s="1" t="s">
        <v>49</v>
      </c>
      <c r="L479" t="str">
        <f>TEXT(Table2[[#This Row],[Order Date]],"YYY")</f>
        <v>2025</v>
      </c>
      <c r="M479" t="str">
        <f>TEXT(Table2[[#This Row],[Order Date]],"MMM")</f>
        <v>Dec</v>
      </c>
      <c r="N479" t="str">
        <f>TEXT(Table2[[#This Row],[Order Date]],"DDD")</f>
        <v>Tue</v>
      </c>
      <c r="O479">
        <f>DATEDIF(Table2[[#This Row],[Order Date]],Table2[[#This Row],[Delivered Date]],"D")</f>
        <v>10</v>
      </c>
      <c r="P479" s="10">
        <f>ROUND(Table2[[#This Row],[Quantity]]*Table2[[#This Row],[Unit Price]]*VLOOKUP(Table2[[#This Row],[Product Name]],Table_1[#All],2,FALSE),0)</f>
        <v>17</v>
      </c>
      <c r="Q479" s="10">
        <f>Table2[[#This Row],[Quantity]]*Table2[[#This Row],[Unit Price]]</f>
        <v>30</v>
      </c>
      <c r="R479" s="10">
        <f>Table2[[#This Row],[Sales Revenue]]-Table2[[#This Row],[Total Cost After Product Percentage Calc]]</f>
        <v>13</v>
      </c>
    </row>
    <row r="480" spans="1:18" ht="14.25" customHeight="1" x14ac:dyDescent="0.3">
      <c r="A480" s="1">
        <v>479</v>
      </c>
      <c r="B480" s="1" t="s">
        <v>531</v>
      </c>
      <c r="C480" s="1" t="s">
        <v>18</v>
      </c>
      <c r="D480" s="1" t="s">
        <v>19</v>
      </c>
      <c r="E480" s="2">
        <v>45953</v>
      </c>
      <c r="F480" s="4">
        <v>45963</v>
      </c>
      <c r="G480" s="1">
        <v>1</v>
      </c>
      <c r="H480" s="1">
        <v>950</v>
      </c>
      <c r="I480" s="1" t="s">
        <v>14</v>
      </c>
      <c r="J480" s="1" t="s">
        <v>24</v>
      </c>
      <c r="K480" s="1" t="s">
        <v>20</v>
      </c>
      <c r="L480" t="str">
        <f>TEXT(Table2[[#This Row],[Order Date]],"YYY")</f>
        <v>2025</v>
      </c>
      <c r="M480" t="str">
        <f>TEXT(Table2[[#This Row],[Order Date]],"MMM")</f>
        <v>Oct</v>
      </c>
      <c r="N480" t="str">
        <f>TEXT(Table2[[#This Row],[Order Date]],"DDD")</f>
        <v>Thu</v>
      </c>
      <c r="O480">
        <f>DATEDIF(Table2[[#This Row],[Order Date]],Table2[[#This Row],[Delivered Date]],"D")</f>
        <v>10</v>
      </c>
      <c r="P480" s="10">
        <f>ROUND(Table2[[#This Row],[Quantity]]*Table2[[#This Row],[Unit Price]]*VLOOKUP(Table2[[#This Row],[Product Name]],Table_1[#All],2,FALSE),0)</f>
        <v>475</v>
      </c>
      <c r="Q480" s="10">
        <f>Table2[[#This Row],[Quantity]]*Table2[[#This Row],[Unit Price]]</f>
        <v>950</v>
      </c>
      <c r="R480" s="10">
        <f>Table2[[#This Row],[Sales Revenue]]-Table2[[#This Row],[Total Cost After Product Percentage Calc]]</f>
        <v>475</v>
      </c>
    </row>
    <row r="481" spans="1:18" ht="14.25" customHeight="1" x14ac:dyDescent="0.3">
      <c r="A481" s="1">
        <v>480</v>
      </c>
      <c r="B481" s="1" t="s">
        <v>532</v>
      </c>
      <c r="C481" s="1" t="s">
        <v>22</v>
      </c>
      <c r="D481" s="1" t="s">
        <v>43</v>
      </c>
      <c r="E481" s="2">
        <v>45716</v>
      </c>
      <c r="F481" s="4">
        <v>45722</v>
      </c>
      <c r="G481" s="1">
        <v>7</v>
      </c>
      <c r="H481" s="1">
        <v>996</v>
      </c>
      <c r="I481" s="1" t="s">
        <v>14</v>
      </c>
      <c r="J481" s="1" t="s">
        <v>52</v>
      </c>
      <c r="K481" s="1" t="s">
        <v>16</v>
      </c>
      <c r="L481" t="str">
        <f>TEXT(Table2[[#This Row],[Order Date]],"YYY")</f>
        <v>2025</v>
      </c>
      <c r="M481" t="str">
        <f>TEXT(Table2[[#This Row],[Order Date]],"MMM")</f>
        <v>Feb</v>
      </c>
      <c r="N481" t="str">
        <f>TEXT(Table2[[#This Row],[Order Date]],"DDD")</f>
        <v>Fri</v>
      </c>
      <c r="O481">
        <f>DATEDIF(Table2[[#This Row],[Order Date]],Table2[[#This Row],[Delivered Date]],"D")</f>
        <v>6</v>
      </c>
      <c r="P481" s="10">
        <f>ROUND(Table2[[#This Row],[Quantity]]*Table2[[#This Row],[Unit Price]]*VLOOKUP(Table2[[#This Row],[Product Name]],Table_1[#All],2,FALSE),0)</f>
        <v>4532</v>
      </c>
      <c r="Q481" s="10">
        <f>Table2[[#This Row],[Quantity]]*Table2[[#This Row],[Unit Price]]</f>
        <v>6972</v>
      </c>
      <c r="R481" s="10">
        <f>Table2[[#This Row],[Sales Revenue]]-Table2[[#This Row],[Total Cost After Product Percentage Calc]]</f>
        <v>2440</v>
      </c>
    </row>
    <row r="482" spans="1:18" ht="14.25" customHeight="1" x14ac:dyDescent="0.3">
      <c r="A482" s="1">
        <v>481</v>
      </c>
      <c r="B482" s="1" t="s">
        <v>533</v>
      </c>
      <c r="C482" s="1" t="s">
        <v>18</v>
      </c>
      <c r="D482" s="1" t="s">
        <v>60</v>
      </c>
      <c r="E482" s="2">
        <v>45689</v>
      </c>
      <c r="F482" s="4">
        <v>45693</v>
      </c>
      <c r="G482" s="1">
        <v>4</v>
      </c>
      <c r="H482" s="1">
        <v>439</v>
      </c>
      <c r="I482" s="1" t="s">
        <v>14</v>
      </c>
      <c r="J482" s="1" t="s">
        <v>31</v>
      </c>
      <c r="K482" s="1" t="s">
        <v>32</v>
      </c>
      <c r="L482" t="str">
        <f>TEXT(Table2[[#This Row],[Order Date]],"YYY")</f>
        <v>2025</v>
      </c>
      <c r="M482" t="str">
        <f>TEXT(Table2[[#This Row],[Order Date]],"MMM")</f>
        <v>Feb</v>
      </c>
      <c r="N482" t="str">
        <f>TEXT(Table2[[#This Row],[Order Date]],"DDD")</f>
        <v>Sat</v>
      </c>
      <c r="O482">
        <f>DATEDIF(Table2[[#This Row],[Order Date]],Table2[[#This Row],[Delivered Date]],"D")</f>
        <v>4</v>
      </c>
      <c r="P482" s="10">
        <f>ROUND(Table2[[#This Row],[Quantity]]*Table2[[#This Row],[Unit Price]]*VLOOKUP(Table2[[#This Row],[Product Name]],Table_1[#All],2,FALSE),0)</f>
        <v>966</v>
      </c>
      <c r="Q482" s="10">
        <f>Table2[[#This Row],[Quantity]]*Table2[[#This Row],[Unit Price]]</f>
        <v>1756</v>
      </c>
      <c r="R482" s="10">
        <f>Table2[[#This Row],[Sales Revenue]]-Table2[[#This Row],[Total Cost After Product Percentage Calc]]</f>
        <v>790</v>
      </c>
    </row>
    <row r="483" spans="1:18" ht="14.25" customHeight="1" x14ac:dyDescent="0.3">
      <c r="A483" s="1">
        <v>482</v>
      </c>
      <c r="B483" s="1" t="s">
        <v>534</v>
      </c>
      <c r="C483" s="1" t="s">
        <v>18</v>
      </c>
      <c r="D483" s="1" t="s">
        <v>60</v>
      </c>
      <c r="E483" s="2">
        <v>45660</v>
      </c>
      <c r="F483" s="4">
        <v>45667</v>
      </c>
      <c r="G483" s="1">
        <v>9</v>
      </c>
      <c r="H483" s="1">
        <v>727</v>
      </c>
      <c r="I483" s="1" t="s">
        <v>14</v>
      </c>
      <c r="J483" s="1" t="s">
        <v>15</v>
      </c>
      <c r="K483" s="1" t="s">
        <v>16</v>
      </c>
      <c r="L483" t="str">
        <f>TEXT(Table2[[#This Row],[Order Date]],"YYY")</f>
        <v>2025</v>
      </c>
      <c r="M483" t="str">
        <f>TEXT(Table2[[#This Row],[Order Date]],"MMM")</f>
        <v>Jan</v>
      </c>
      <c r="N483" t="str">
        <f>TEXT(Table2[[#This Row],[Order Date]],"DDD")</f>
        <v>Fri</v>
      </c>
      <c r="O483">
        <f>DATEDIF(Table2[[#This Row],[Order Date]],Table2[[#This Row],[Delivered Date]],"D")</f>
        <v>7</v>
      </c>
      <c r="P483" s="10">
        <f>ROUND(Table2[[#This Row],[Quantity]]*Table2[[#This Row],[Unit Price]]*VLOOKUP(Table2[[#This Row],[Product Name]],Table_1[#All],2,FALSE),0)</f>
        <v>3599</v>
      </c>
      <c r="Q483" s="10">
        <f>Table2[[#This Row],[Quantity]]*Table2[[#This Row],[Unit Price]]</f>
        <v>6543</v>
      </c>
      <c r="R483" s="10">
        <f>Table2[[#This Row],[Sales Revenue]]-Table2[[#This Row],[Total Cost After Product Percentage Calc]]</f>
        <v>2944</v>
      </c>
    </row>
    <row r="484" spans="1:18" ht="14.25" customHeight="1" x14ac:dyDescent="0.3">
      <c r="A484" s="1">
        <v>483</v>
      </c>
      <c r="B484" s="1" t="s">
        <v>535</v>
      </c>
      <c r="C484" s="1" t="s">
        <v>12</v>
      </c>
      <c r="D484" s="1" t="s">
        <v>29</v>
      </c>
      <c r="E484" s="2">
        <v>45704</v>
      </c>
      <c r="F484" s="4">
        <v>45708</v>
      </c>
      <c r="G484" s="1">
        <v>5</v>
      </c>
      <c r="H484" s="1">
        <v>314</v>
      </c>
      <c r="I484" s="1" t="s">
        <v>14</v>
      </c>
      <c r="J484" s="1" t="s">
        <v>36</v>
      </c>
      <c r="K484" s="1" t="s">
        <v>32</v>
      </c>
      <c r="L484" t="str">
        <f>TEXT(Table2[[#This Row],[Order Date]],"YYY")</f>
        <v>2025</v>
      </c>
      <c r="M484" t="str">
        <f>TEXT(Table2[[#This Row],[Order Date]],"MMM")</f>
        <v>Feb</v>
      </c>
      <c r="N484" t="str">
        <f>TEXT(Table2[[#This Row],[Order Date]],"DDD")</f>
        <v>Sun</v>
      </c>
      <c r="O484">
        <f>DATEDIF(Table2[[#This Row],[Order Date]],Table2[[#This Row],[Delivered Date]],"D")</f>
        <v>4</v>
      </c>
      <c r="P484" s="10">
        <f>ROUND(Table2[[#This Row],[Quantity]]*Table2[[#This Row],[Unit Price]]*VLOOKUP(Table2[[#This Row],[Product Name]],Table_1[#All],2,FALSE),0)</f>
        <v>1021</v>
      </c>
      <c r="Q484" s="10">
        <f>Table2[[#This Row],[Quantity]]*Table2[[#This Row],[Unit Price]]</f>
        <v>1570</v>
      </c>
      <c r="R484" s="10">
        <f>Table2[[#This Row],[Sales Revenue]]-Table2[[#This Row],[Total Cost After Product Percentage Calc]]</f>
        <v>549</v>
      </c>
    </row>
    <row r="485" spans="1:18" ht="14.25" customHeight="1" x14ac:dyDescent="0.3">
      <c r="A485" s="1">
        <v>484</v>
      </c>
      <c r="B485" s="1" t="s">
        <v>536</v>
      </c>
      <c r="C485" s="1" t="s">
        <v>34</v>
      </c>
      <c r="D485" s="1" t="s">
        <v>80</v>
      </c>
      <c r="E485" s="2">
        <v>45920</v>
      </c>
      <c r="F485" s="4">
        <v>45924</v>
      </c>
      <c r="G485" s="1">
        <v>8</v>
      </c>
      <c r="H485" s="1">
        <v>419</v>
      </c>
      <c r="I485" s="1" t="s">
        <v>30</v>
      </c>
      <c r="J485" s="1" t="s">
        <v>15</v>
      </c>
      <c r="K485" s="1" t="s">
        <v>49</v>
      </c>
      <c r="L485" t="str">
        <f>TEXT(Table2[[#This Row],[Order Date]],"YYY")</f>
        <v>2025</v>
      </c>
      <c r="M485" t="str">
        <f>TEXT(Table2[[#This Row],[Order Date]],"MMM")</f>
        <v>Sep</v>
      </c>
      <c r="N485" t="str">
        <f>TEXT(Table2[[#This Row],[Order Date]],"DDD")</f>
        <v>Sat</v>
      </c>
      <c r="O485">
        <f>DATEDIF(Table2[[#This Row],[Order Date]],Table2[[#This Row],[Delivered Date]],"D")</f>
        <v>4</v>
      </c>
      <c r="P485" s="10">
        <f>ROUND(Table2[[#This Row],[Quantity]]*Table2[[#This Row],[Unit Price]]*VLOOKUP(Table2[[#This Row],[Product Name]],Table_1[#All],2,FALSE),0)</f>
        <v>2514</v>
      </c>
      <c r="Q485" s="10">
        <f>Table2[[#This Row],[Quantity]]*Table2[[#This Row],[Unit Price]]</f>
        <v>3352</v>
      </c>
      <c r="R485" s="10">
        <f>Table2[[#This Row],[Sales Revenue]]-Table2[[#This Row],[Total Cost After Product Percentage Calc]]</f>
        <v>838</v>
      </c>
    </row>
    <row r="486" spans="1:18" ht="14.25" customHeight="1" x14ac:dyDescent="0.3">
      <c r="A486" s="1">
        <v>485</v>
      </c>
      <c r="B486" s="1" t="s">
        <v>42</v>
      </c>
      <c r="C486" s="1" t="s">
        <v>18</v>
      </c>
      <c r="D486" s="1" t="s">
        <v>47</v>
      </c>
      <c r="E486" s="2">
        <v>45987</v>
      </c>
      <c r="F486" s="4">
        <v>45996</v>
      </c>
      <c r="G486" s="1">
        <v>5</v>
      </c>
      <c r="H486" s="1">
        <v>900</v>
      </c>
      <c r="I486" s="1" t="s">
        <v>30</v>
      </c>
      <c r="J486" s="1" t="s">
        <v>24</v>
      </c>
      <c r="K486" s="1" t="s">
        <v>49</v>
      </c>
      <c r="L486" t="str">
        <f>TEXT(Table2[[#This Row],[Order Date]],"YYY")</f>
        <v>2025</v>
      </c>
      <c r="M486" t="str">
        <f>TEXT(Table2[[#This Row],[Order Date]],"MMM")</f>
        <v>Nov</v>
      </c>
      <c r="N486" t="str">
        <f>TEXT(Table2[[#This Row],[Order Date]],"DDD")</f>
        <v>Wed</v>
      </c>
      <c r="O486">
        <f>DATEDIF(Table2[[#This Row],[Order Date]],Table2[[#This Row],[Delivered Date]],"D")</f>
        <v>9</v>
      </c>
      <c r="P486" s="10">
        <f>ROUND(Table2[[#This Row],[Quantity]]*Table2[[#This Row],[Unit Price]]*VLOOKUP(Table2[[#This Row],[Product Name]],Table_1[#All],2,FALSE),0)</f>
        <v>2700</v>
      </c>
      <c r="Q486" s="10">
        <f>Table2[[#This Row],[Quantity]]*Table2[[#This Row],[Unit Price]]</f>
        <v>4500</v>
      </c>
      <c r="R486" s="10">
        <f>Table2[[#This Row],[Sales Revenue]]-Table2[[#This Row],[Total Cost After Product Percentage Calc]]</f>
        <v>1800</v>
      </c>
    </row>
    <row r="487" spans="1:18" ht="14.25" customHeight="1" x14ac:dyDescent="0.3">
      <c r="A487" s="1">
        <v>486</v>
      </c>
      <c r="B487" s="1" t="s">
        <v>44</v>
      </c>
      <c r="C487" s="1" t="s">
        <v>26</v>
      </c>
      <c r="D487" s="1" t="s">
        <v>27</v>
      </c>
      <c r="E487" s="2">
        <v>45988</v>
      </c>
      <c r="F487" s="4">
        <v>45994</v>
      </c>
      <c r="G487" s="1">
        <v>7</v>
      </c>
      <c r="H487" s="1">
        <v>444</v>
      </c>
      <c r="I487" s="1" t="s">
        <v>30</v>
      </c>
      <c r="J487" s="1" t="s">
        <v>24</v>
      </c>
      <c r="K487" s="1" t="s">
        <v>49</v>
      </c>
      <c r="L487" t="str">
        <f>TEXT(Table2[[#This Row],[Order Date]],"YYY")</f>
        <v>2025</v>
      </c>
      <c r="M487" t="str">
        <f>TEXT(Table2[[#This Row],[Order Date]],"MMM")</f>
        <v>Nov</v>
      </c>
      <c r="N487" t="str">
        <f>TEXT(Table2[[#This Row],[Order Date]],"DDD")</f>
        <v>Thu</v>
      </c>
      <c r="O487">
        <f>DATEDIF(Table2[[#This Row],[Order Date]],Table2[[#This Row],[Delivered Date]],"D")</f>
        <v>6</v>
      </c>
      <c r="P487" s="10">
        <f>ROUND(Table2[[#This Row],[Quantity]]*Table2[[#This Row],[Unit Price]]*VLOOKUP(Table2[[#This Row],[Product Name]],Table_1[#All],2,FALSE),0)</f>
        <v>1709</v>
      </c>
      <c r="Q487" s="10">
        <f>Table2[[#This Row],[Quantity]]*Table2[[#This Row],[Unit Price]]</f>
        <v>3108</v>
      </c>
      <c r="R487" s="10">
        <f>Table2[[#This Row],[Sales Revenue]]-Table2[[#This Row],[Total Cost After Product Percentage Calc]]</f>
        <v>1399</v>
      </c>
    </row>
    <row r="488" spans="1:18" ht="14.25" customHeight="1" x14ac:dyDescent="0.3">
      <c r="A488" s="1">
        <v>487</v>
      </c>
      <c r="B488" s="1" t="s">
        <v>46</v>
      </c>
      <c r="C488" s="1" t="s">
        <v>26</v>
      </c>
      <c r="D488" s="1" t="s">
        <v>27</v>
      </c>
      <c r="E488" s="2">
        <v>45814</v>
      </c>
      <c r="F488" s="4">
        <v>45817</v>
      </c>
      <c r="G488" s="1">
        <v>5</v>
      </c>
      <c r="H488" s="1">
        <v>615</v>
      </c>
      <c r="I488" s="1" t="s">
        <v>30</v>
      </c>
      <c r="J488" s="1" t="s">
        <v>24</v>
      </c>
      <c r="K488" s="1" t="s">
        <v>16</v>
      </c>
      <c r="L488" t="str">
        <f>TEXT(Table2[[#This Row],[Order Date]],"YYY")</f>
        <v>2025</v>
      </c>
      <c r="M488" t="str">
        <f>TEXT(Table2[[#This Row],[Order Date]],"MMM")</f>
        <v>Jun</v>
      </c>
      <c r="N488" t="str">
        <f>TEXT(Table2[[#This Row],[Order Date]],"DDD")</f>
        <v>Fri</v>
      </c>
      <c r="O488">
        <f>DATEDIF(Table2[[#This Row],[Order Date]],Table2[[#This Row],[Delivered Date]],"D")</f>
        <v>3</v>
      </c>
      <c r="P488" s="10">
        <f>ROUND(Table2[[#This Row],[Quantity]]*Table2[[#This Row],[Unit Price]]*VLOOKUP(Table2[[#This Row],[Product Name]],Table_1[#All],2,FALSE),0)</f>
        <v>1691</v>
      </c>
      <c r="Q488" s="10">
        <f>Table2[[#This Row],[Quantity]]*Table2[[#This Row],[Unit Price]]</f>
        <v>3075</v>
      </c>
      <c r="R488" s="10">
        <f>Table2[[#This Row],[Sales Revenue]]-Table2[[#This Row],[Total Cost After Product Percentage Calc]]</f>
        <v>1384</v>
      </c>
    </row>
    <row r="489" spans="1:18" ht="14.25" customHeight="1" x14ac:dyDescent="0.3">
      <c r="A489" s="1">
        <v>488</v>
      </c>
      <c r="B489" s="1" t="s">
        <v>48</v>
      </c>
      <c r="C489" s="1" t="s">
        <v>18</v>
      </c>
      <c r="D489" s="1" t="s">
        <v>68</v>
      </c>
      <c r="E489" s="2">
        <v>46006</v>
      </c>
      <c r="F489" s="4">
        <v>46007</v>
      </c>
      <c r="G489" s="1">
        <v>7</v>
      </c>
      <c r="H489" s="1">
        <v>595</v>
      </c>
      <c r="I489" s="1" t="s">
        <v>14</v>
      </c>
      <c r="J489" s="1" t="s">
        <v>15</v>
      </c>
      <c r="K489" s="1" t="s">
        <v>20</v>
      </c>
      <c r="L489" t="str">
        <f>TEXT(Table2[[#This Row],[Order Date]],"YYY")</f>
        <v>2025</v>
      </c>
      <c r="M489" t="str">
        <f>TEXT(Table2[[#This Row],[Order Date]],"MMM")</f>
        <v>Dec</v>
      </c>
      <c r="N489" t="str">
        <f>TEXT(Table2[[#This Row],[Order Date]],"DDD")</f>
        <v>Mon</v>
      </c>
      <c r="O489">
        <f>DATEDIF(Table2[[#This Row],[Order Date]],Table2[[#This Row],[Delivered Date]],"D")</f>
        <v>1</v>
      </c>
      <c r="P489" s="10">
        <f>ROUND(Table2[[#This Row],[Quantity]]*Table2[[#This Row],[Unit Price]]*VLOOKUP(Table2[[#This Row],[Product Name]],Table_1[#All],2,FALSE),0)</f>
        <v>2083</v>
      </c>
      <c r="Q489" s="10">
        <f>Table2[[#This Row],[Quantity]]*Table2[[#This Row],[Unit Price]]</f>
        <v>4165</v>
      </c>
      <c r="R489" s="10">
        <f>Table2[[#This Row],[Sales Revenue]]-Table2[[#This Row],[Total Cost After Product Percentage Calc]]</f>
        <v>2082</v>
      </c>
    </row>
    <row r="490" spans="1:18" ht="14.25" customHeight="1" x14ac:dyDescent="0.3">
      <c r="A490" s="1">
        <v>489</v>
      </c>
      <c r="B490" s="1" t="s">
        <v>50</v>
      </c>
      <c r="C490" s="1" t="s">
        <v>34</v>
      </c>
      <c r="D490" s="1" t="s">
        <v>54</v>
      </c>
      <c r="E490" s="2">
        <v>45660</v>
      </c>
      <c r="F490" s="4">
        <v>45669</v>
      </c>
      <c r="G490" s="1">
        <v>1</v>
      </c>
      <c r="H490" s="1">
        <v>669</v>
      </c>
      <c r="I490" s="1" t="s">
        <v>14</v>
      </c>
      <c r="J490" s="1" t="s">
        <v>15</v>
      </c>
      <c r="K490" s="1" t="s">
        <v>20</v>
      </c>
      <c r="L490" t="str">
        <f>TEXT(Table2[[#This Row],[Order Date]],"YYY")</f>
        <v>2025</v>
      </c>
      <c r="M490" t="str">
        <f>TEXT(Table2[[#This Row],[Order Date]],"MMM")</f>
        <v>Jan</v>
      </c>
      <c r="N490" t="str">
        <f>TEXT(Table2[[#This Row],[Order Date]],"DDD")</f>
        <v>Fri</v>
      </c>
      <c r="O490">
        <f>DATEDIF(Table2[[#This Row],[Order Date]],Table2[[#This Row],[Delivered Date]],"D")</f>
        <v>9</v>
      </c>
      <c r="P490" s="10">
        <f>ROUND(Table2[[#This Row],[Quantity]]*Table2[[#This Row],[Unit Price]]*VLOOKUP(Table2[[#This Row],[Product Name]],Table_1[#All],2,FALSE),0)</f>
        <v>468</v>
      </c>
      <c r="Q490" s="10">
        <f>Table2[[#This Row],[Quantity]]*Table2[[#This Row],[Unit Price]]</f>
        <v>669</v>
      </c>
      <c r="R490" s="10">
        <f>Table2[[#This Row],[Sales Revenue]]-Table2[[#This Row],[Total Cost After Product Percentage Calc]]</f>
        <v>201</v>
      </c>
    </row>
    <row r="491" spans="1:18" ht="14.25" customHeight="1" x14ac:dyDescent="0.3">
      <c r="A491" s="1">
        <v>490</v>
      </c>
      <c r="B491" s="1" t="s">
        <v>51</v>
      </c>
      <c r="C491" s="1" t="s">
        <v>22</v>
      </c>
      <c r="D491" s="1" t="s">
        <v>43</v>
      </c>
      <c r="E491" s="2">
        <v>45879</v>
      </c>
      <c r="F491" s="4">
        <v>45882</v>
      </c>
      <c r="G491" s="1">
        <v>9</v>
      </c>
      <c r="H491" s="1">
        <v>967</v>
      </c>
      <c r="I491" s="1" t="s">
        <v>14</v>
      </c>
      <c r="J491" s="1" t="s">
        <v>36</v>
      </c>
      <c r="K491" s="1" t="s">
        <v>20</v>
      </c>
      <c r="L491" t="str">
        <f>TEXT(Table2[[#This Row],[Order Date]],"YYY")</f>
        <v>2025</v>
      </c>
      <c r="M491" t="str">
        <f>TEXT(Table2[[#This Row],[Order Date]],"MMM")</f>
        <v>Aug</v>
      </c>
      <c r="N491" t="str">
        <f>TEXT(Table2[[#This Row],[Order Date]],"DDD")</f>
        <v>Sun</v>
      </c>
      <c r="O491">
        <f>DATEDIF(Table2[[#This Row],[Order Date]],Table2[[#This Row],[Delivered Date]],"D")</f>
        <v>3</v>
      </c>
      <c r="P491" s="10">
        <f>ROUND(Table2[[#This Row],[Quantity]]*Table2[[#This Row],[Unit Price]]*VLOOKUP(Table2[[#This Row],[Product Name]],Table_1[#All],2,FALSE),0)</f>
        <v>5657</v>
      </c>
      <c r="Q491" s="10">
        <f>Table2[[#This Row],[Quantity]]*Table2[[#This Row],[Unit Price]]</f>
        <v>8703</v>
      </c>
      <c r="R491" s="10">
        <f>Table2[[#This Row],[Sales Revenue]]-Table2[[#This Row],[Total Cost After Product Percentage Calc]]</f>
        <v>3046</v>
      </c>
    </row>
    <row r="492" spans="1:18" ht="14.25" customHeight="1" x14ac:dyDescent="0.3">
      <c r="A492" s="1">
        <v>491</v>
      </c>
      <c r="B492" s="1" t="s">
        <v>53</v>
      </c>
      <c r="C492" s="1" t="s">
        <v>12</v>
      </c>
      <c r="D492" s="1" t="s">
        <v>13</v>
      </c>
      <c r="E492" s="2">
        <v>45759</v>
      </c>
      <c r="F492" s="4">
        <v>45765</v>
      </c>
      <c r="G492" s="1">
        <v>5</v>
      </c>
      <c r="H492" s="1">
        <v>874</v>
      </c>
      <c r="I492" s="1" t="s">
        <v>14</v>
      </c>
      <c r="J492" s="1" t="s">
        <v>36</v>
      </c>
      <c r="K492" s="1" t="s">
        <v>49</v>
      </c>
      <c r="L492" t="str">
        <f>TEXT(Table2[[#This Row],[Order Date]],"YYY")</f>
        <v>2025</v>
      </c>
      <c r="M492" t="str">
        <f>TEXT(Table2[[#This Row],[Order Date]],"MMM")</f>
        <v>Apr</v>
      </c>
      <c r="N492" t="str">
        <f>TEXT(Table2[[#This Row],[Order Date]],"DDD")</f>
        <v>Sat</v>
      </c>
      <c r="O492">
        <f>DATEDIF(Table2[[#This Row],[Order Date]],Table2[[#This Row],[Delivered Date]],"D")</f>
        <v>6</v>
      </c>
      <c r="P492" s="10">
        <f>ROUND(Table2[[#This Row],[Quantity]]*Table2[[#This Row],[Unit Price]]*VLOOKUP(Table2[[#This Row],[Product Name]],Table_1[#All],2,FALSE),0)</f>
        <v>3278</v>
      </c>
      <c r="Q492" s="10">
        <f>Table2[[#This Row],[Quantity]]*Table2[[#This Row],[Unit Price]]</f>
        <v>4370</v>
      </c>
      <c r="R492" s="10">
        <f>Table2[[#This Row],[Sales Revenue]]-Table2[[#This Row],[Total Cost After Product Percentage Calc]]</f>
        <v>1092</v>
      </c>
    </row>
    <row r="493" spans="1:18" ht="14.25" customHeight="1" x14ac:dyDescent="0.3">
      <c r="A493" s="1">
        <v>492</v>
      </c>
      <c r="B493" s="1" t="s">
        <v>55</v>
      </c>
      <c r="C493" s="1" t="s">
        <v>26</v>
      </c>
      <c r="D493" s="1" t="s">
        <v>41</v>
      </c>
      <c r="E493" s="2">
        <v>45948</v>
      </c>
      <c r="F493" s="4">
        <v>45955</v>
      </c>
      <c r="G493" s="1">
        <v>6</v>
      </c>
      <c r="H493" s="1">
        <v>124</v>
      </c>
      <c r="I493" s="1" t="s">
        <v>30</v>
      </c>
      <c r="J493" s="1" t="s">
        <v>15</v>
      </c>
      <c r="K493" s="1" t="s">
        <v>49</v>
      </c>
      <c r="L493" t="str">
        <f>TEXT(Table2[[#This Row],[Order Date]],"YYY")</f>
        <v>2025</v>
      </c>
      <c r="M493" t="str">
        <f>TEXT(Table2[[#This Row],[Order Date]],"MMM")</f>
        <v>Oct</v>
      </c>
      <c r="N493" t="str">
        <f>TEXT(Table2[[#This Row],[Order Date]],"DDD")</f>
        <v>Sat</v>
      </c>
      <c r="O493">
        <f>DATEDIF(Table2[[#This Row],[Order Date]],Table2[[#This Row],[Delivered Date]],"D")</f>
        <v>7</v>
      </c>
      <c r="P493" s="10">
        <f>ROUND(Table2[[#This Row],[Quantity]]*Table2[[#This Row],[Unit Price]]*VLOOKUP(Table2[[#This Row],[Product Name]],Table_1[#All],2,FALSE),0)</f>
        <v>372</v>
      </c>
      <c r="Q493" s="10">
        <f>Table2[[#This Row],[Quantity]]*Table2[[#This Row],[Unit Price]]</f>
        <v>744</v>
      </c>
      <c r="R493" s="10">
        <f>Table2[[#This Row],[Sales Revenue]]-Table2[[#This Row],[Total Cost After Product Percentage Calc]]</f>
        <v>372</v>
      </c>
    </row>
    <row r="494" spans="1:18" ht="14.25" customHeight="1" x14ac:dyDescent="0.3">
      <c r="A494" s="1">
        <v>493</v>
      </c>
      <c r="B494" s="1" t="s">
        <v>57</v>
      </c>
      <c r="C494" s="1" t="s">
        <v>18</v>
      </c>
      <c r="D494" s="1" t="s">
        <v>47</v>
      </c>
      <c r="E494" s="2">
        <v>45956</v>
      </c>
      <c r="F494" s="4">
        <v>45962</v>
      </c>
      <c r="G494" s="1">
        <v>6</v>
      </c>
      <c r="H494" s="1">
        <v>894</v>
      </c>
      <c r="I494" s="1" t="s">
        <v>30</v>
      </c>
      <c r="J494" s="1" t="s">
        <v>36</v>
      </c>
      <c r="K494" s="1" t="s">
        <v>16</v>
      </c>
      <c r="L494" t="str">
        <f>TEXT(Table2[[#This Row],[Order Date]],"YYY")</f>
        <v>2025</v>
      </c>
      <c r="M494" t="str">
        <f>TEXT(Table2[[#This Row],[Order Date]],"MMM")</f>
        <v>Oct</v>
      </c>
      <c r="N494" t="str">
        <f>TEXT(Table2[[#This Row],[Order Date]],"DDD")</f>
        <v>Sun</v>
      </c>
      <c r="O494">
        <f>DATEDIF(Table2[[#This Row],[Order Date]],Table2[[#This Row],[Delivered Date]],"D")</f>
        <v>6</v>
      </c>
      <c r="P494" s="10">
        <f>ROUND(Table2[[#This Row],[Quantity]]*Table2[[#This Row],[Unit Price]]*VLOOKUP(Table2[[#This Row],[Product Name]],Table_1[#All],2,FALSE),0)</f>
        <v>3218</v>
      </c>
      <c r="Q494" s="10">
        <f>Table2[[#This Row],[Quantity]]*Table2[[#This Row],[Unit Price]]</f>
        <v>5364</v>
      </c>
      <c r="R494" s="10">
        <f>Table2[[#This Row],[Sales Revenue]]-Table2[[#This Row],[Total Cost After Product Percentage Calc]]</f>
        <v>2146</v>
      </c>
    </row>
    <row r="495" spans="1:18" ht="14.25" customHeight="1" x14ac:dyDescent="0.3">
      <c r="A495" s="1">
        <v>494</v>
      </c>
      <c r="B495" s="1" t="s">
        <v>59</v>
      </c>
      <c r="C495" s="1" t="s">
        <v>22</v>
      </c>
      <c r="D495" s="1" t="s">
        <v>58</v>
      </c>
      <c r="E495" s="2">
        <v>45800</v>
      </c>
      <c r="F495" s="4">
        <v>45803</v>
      </c>
      <c r="G495" s="1">
        <v>4</v>
      </c>
      <c r="H495" s="1">
        <v>740</v>
      </c>
      <c r="I495" s="1" t="s">
        <v>14</v>
      </c>
      <c r="J495" s="1" t="s">
        <v>24</v>
      </c>
      <c r="K495" s="1" t="s">
        <v>32</v>
      </c>
      <c r="L495" t="str">
        <f>TEXT(Table2[[#This Row],[Order Date]],"YYY")</f>
        <v>2025</v>
      </c>
      <c r="M495" t="str">
        <f>TEXT(Table2[[#This Row],[Order Date]],"MMM")</f>
        <v>May</v>
      </c>
      <c r="N495" t="str">
        <f>TEXT(Table2[[#This Row],[Order Date]],"DDD")</f>
        <v>Fri</v>
      </c>
      <c r="O495">
        <f>DATEDIF(Table2[[#This Row],[Order Date]],Table2[[#This Row],[Delivered Date]],"D")</f>
        <v>3</v>
      </c>
      <c r="P495" s="10">
        <f>ROUND(Table2[[#This Row],[Quantity]]*Table2[[#This Row],[Unit Price]]*VLOOKUP(Table2[[#This Row],[Product Name]],Table_1[#All],2,FALSE),0)</f>
        <v>2072</v>
      </c>
      <c r="Q495" s="10">
        <f>Table2[[#This Row],[Quantity]]*Table2[[#This Row],[Unit Price]]</f>
        <v>2960</v>
      </c>
      <c r="R495" s="10">
        <f>Table2[[#This Row],[Sales Revenue]]-Table2[[#This Row],[Total Cost After Product Percentage Calc]]</f>
        <v>888</v>
      </c>
    </row>
    <row r="496" spans="1:18" ht="14.25" customHeight="1" x14ac:dyDescent="0.3">
      <c r="A496" s="1">
        <v>495</v>
      </c>
      <c r="B496" s="1" t="s">
        <v>61</v>
      </c>
      <c r="C496" s="1" t="s">
        <v>34</v>
      </c>
      <c r="D496" s="1" t="s">
        <v>54</v>
      </c>
      <c r="E496" s="2">
        <v>45916</v>
      </c>
      <c r="F496" s="4">
        <v>45919</v>
      </c>
      <c r="G496" s="1">
        <v>10</v>
      </c>
      <c r="H496" s="1">
        <v>741</v>
      </c>
      <c r="I496" s="1" t="s">
        <v>30</v>
      </c>
      <c r="J496" s="1" t="s">
        <v>52</v>
      </c>
      <c r="K496" s="1" t="s">
        <v>49</v>
      </c>
      <c r="L496" t="str">
        <f>TEXT(Table2[[#This Row],[Order Date]],"YYY")</f>
        <v>2025</v>
      </c>
      <c r="M496" t="str">
        <f>TEXT(Table2[[#This Row],[Order Date]],"MMM")</f>
        <v>Sep</v>
      </c>
      <c r="N496" t="str">
        <f>TEXT(Table2[[#This Row],[Order Date]],"DDD")</f>
        <v>Tue</v>
      </c>
      <c r="O496">
        <f>DATEDIF(Table2[[#This Row],[Order Date]],Table2[[#This Row],[Delivered Date]],"D")</f>
        <v>3</v>
      </c>
      <c r="P496" s="10">
        <f>ROUND(Table2[[#This Row],[Quantity]]*Table2[[#This Row],[Unit Price]]*VLOOKUP(Table2[[#This Row],[Product Name]],Table_1[#All],2,FALSE),0)</f>
        <v>5187</v>
      </c>
      <c r="Q496" s="10">
        <f>Table2[[#This Row],[Quantity]]*Table2[[#This Row],[Unit Price]]</f>
        <v>7410</v>
      </c>
      <c r="R496" s="10">
        <f>Table2[[#This Row],[Sales Revenue]]-Table2[[#This Row],[Total Cost After Product Percentage Calc]]</f>
        <v>2223</v>
      </c>
    </row>
    <row r="497" spans="1:18" ht="14.25" customHeight="1" x14ac:dyDescent="0.3">
      <c r="A497" s="1">
        <v>496</v>
      </c>
      <c r="B497" s="1" t="s">
        <v>46</v>
      </c>
      <c r="C497" s="1" t="s">
        <v>12</v>
      </c>
      <c r="D497" s="1" t="s">
        <v>13</v>
      </c>
      <c r="E497" s="2">
        <v>45709</v>
      </c>
      <c r="F497" s="4">
        <v>45718</v>
      </c>
      <c r="G497" s="1">
        <v>1</v>
      </c>
      <c r="H497" s="1">
        <v>474</v>
      </c>
      <c r="I497" s="1" t="s">
        <v>30</v>
      </c>
      <c r="J497" s="1" t="s">
        <v>36</v>
      </c>
      <c r="K497" s="1" t="s">
        <v>32</v>
      </c>
      <c r="L497" t="str">
        <f>TEXT(Table2[[#This Row],[Order Date]],"YYY")</f>
        <v>2025</v>
      </c>
      <c r="M497" t="str">
        <f>TEXT(Table2[[#This Row],[Order Date]],"MMM")</f>
        <v>Feb</v>
      </c>
      <c r="N497" t="str">
        <f>TEXT(Table2[[#This Row],[Order Date]],"DDD")</f>
        <v>Fri</v>
      </c>
      <c r="O497">
        <f>DATEDIF(Table2[[#This Row],[Order Date]],Table2[[#This Row],[Delivered Date]],"D")</f>
        <v>9</v>
      </c>
      <c r="P497" s="10">
        <f>ROUND(Table2[[#This Row],[Quantity]]*Table2[[#This Row],[Unit Price]]*VLOOKUP(Table2[[#This Row],[Product Name]],Table_1[#All],2,FALSE),0)</f>
        <v>356</v>
      </c>
      <c r="Q497" s="10">
        <f>Table2[[#This Row],[Quantity]]*Table2[[#This Row],[Unit Price]]</f>
        <v>474</v>
      </c>
      <c r="R497" s="10">
        <f>Table2[[#This Row],[Sales Revenue]]-Table2[[#This Row],[Total Cost After Product Percentage Calc]]</f>
        <v>118</v>
      </c>
    </row>
    <row r="498" spans="1:18" ht="14.25" customHeight="1" x14ac:dyDescent="0.3">
      <c r="A498" s="1">
        <v>497</v>
      </c>
      <c r="B498" s="1" t="s">
        <v>63</v>
      </c>
      <c r="C498" s="1" t="s">
        <v>34</v>
      </c>
      <c r="D498" s="1" t="s">
        <v>80</v>
      </c>
      <c r="E498" s="2">
        <v>45691</v>
      </c>
      <c r="F498" s="4">
        <v>45696</v>
      </c>
      <c r="G498" s="1">
        <v>7</v>
      </c>
      <c r="H498" s="1">
        <v>811</v>
      </c>
      <c r="I498" s="1" t="s">
        <v>30</v>
      </c>
      <c r="J498" s="1" t="s">
        <v>31</v>
      </c>
      <c r="K498" s="1" t="s">
        <v>16</v>
      </c>
      <c r="L498" t="str">
        <f>TEXT(Table2[[#This Row],[Order Date]],"YYY")</f>
        <v>2025</v>
      </c>
      <c r="M498" t="str">
        <f>TEXT(Table2[[#This Row],[Order Date]],"MMM")</f>
        <v>Feb</v>
      </c>
      <c r="N498" t="str">
        <f>TEXT(Table2[[#This Row],[Order Date]],"DDD")</f>
        <v>Mon</v>
      </c>
      <c r="O498">
        <f>DATEDIF(Table2[[#This Row],[Order Date]],Table2[[#This Row],[Delivered Date]],"D")</f>
        <v>5</v>
      </c>
      <c r="P498" s="10">
        <f>ROUND(Table2[[#This Row],[Quantity]]*Table2[[#This Row],[Unit Price]]*VLOOKUP(Table2[[#This Row],[Product Name]],Table_1[#All],2,FALSE),0)</f>
        <v>4258</v>
      </c>
      <c r="Q498" s="10">
        <f>Table2[[#This Row],[Quantity]]*Table2[[#This Row],[Unit Price]]</f>
        <v>5677</v>
      </c>
      <c r="R498" s="10">
        <f>Table2[[#This Row],[Sales Revenue]]-Table2[[#This Row],[Total Cost After Product Percentage Calc]]</f>
        <v>1419</v>
      </c>
    </row>
    <row r="499" spans="1:18" ht="14.25" customHeight="1" x14ac:dyDescent="0.3">
      <c r="A499" s="1">
        <v>498</v>
      </c>
      <c r="B499" s="1" t="s">
        <v>65</v>
      </c>
      <c r="C499" s="1" t="s">
        <v>26</v>
      </c>
      <c r="D499" s="1" t="s">
        <v>27</v>
      </c>
      <c r="E499" s="2">
        <v>45741</v>
      </c>
      <c r="F499" s="4">
        <v>45745</v>
      </c>
      <c r="G499" s="1">
        <v>4</v>
      </c>
      <c r="H499" s="1">
        <v>247</v>
      </c>
      <c r="I499" s="1" t="s">
        <v>14</v>
      </c>
      <c r="J499" s="1" t="s">
        <v>36</v>
      </c>
      <c r="K499" s="1" t="s">
        <v>49</v>
      </c>
      <c r="L499" t="str">
        <f>TEXT(Table2[[#This Row],[Order Date]],"YYY")</f>
        <v>2025</v>
      </c>
      <c r="M499" t="str">
        <f>TEXT(Table2[[#This Row],[Order Date]],"MMM")</f>
        <v>Mar</v>
      </c>
      <c r="N499" t="str">
        <f>TEXT(Table2[[#This Row],[Order Date]],"DDD")</f>
        <v>Tue</v>
      </c>
      <c r="O499">
        <f>DATEDIF(Table2[[#This Row],[Order Date]],Table2[[#This Row],[Delivered Date]],"D")</f>
        <v>4</v>
      </c>
      <c r="P499" s="10">
        <f>ROUND(Table2[[#This Row],[Quantity]]*Table2[[#This Row],[Unit Price]]*VLOOKUP(Table2[[#This Row],[Product Name]],Table_1[#All],2,FALSE),0)</f>
        <v>543</v>
      </c>
      <c r="Q499" s="10">
        <f>Table2[[#This Row],[Quantity]]*Table2[[#This Row],[Unit Price]]</f>
        <v>988</v>
      </c>
      <c r="R499" s="10">
        <f>Table2[[#This Row],[Sales Revenue]]-Table2[[#This Row],[Total Cost After Product Percentage Calc]]</f>
        <v>445</v>
      </c>
    </row>
    <row r="500" spans="1:18" ht="14.25" customHeight="1" x14ac:dyDescent="0.3">
      <c r="A500" s="1">
        <v>499</v>
      </c>
      <c r="B500" s="1" t="s">
        <v>66</v>
      </c>
      <c r="C500" s="1" t="s">
        <v>34</v>
      </c>
      <c r="D500" s="1" t="s">
        <v>35</v>
      </c>
      <c r="E500" s="2">
        <v>45741</v>
      </c>
      <c r="F500" s="4">
        <v>45752</v>
      </c>
      <c r="G500" s="1">
        <v>3</v>
      </c>
      <c r="H500" s="1">
        <v>774</v>
      </c>
      <c r="I500" s="1" t="s">
        <v>30</v>
      </c>
      <c r="J500" s="1" t="s">
        <v>52</v>
      </c>
      <c r="K500" s="1" t="s">
        <v>20</v>
      </c>
      <c r="L500" t="str">
        <f>TEXT(Table2[[#This Row],[Order Date]],"YYY")</f>
        <v>2025</v>
      </c>
      <c r="M500" t="str">
        <f>TEXT(Table2[[#This Row],[Order Date]],"MMM")</f>
        <v>Mar</v>
      </c>
      <c r="N500" t="str">
        <f>TEXT(Table2[[#This Row],[Order Date]],"DDD")</f>
        <v>Tue</v>
      </c>
      <c r="O500">
        <f>DATEDIF(Table2[[#This Row],[Order Date]],Table2[[#This Row],[Delivered Date]],"D")</f>
        <v>11</v>
      </c>
      <c r="P500" s="10">
        <f>ROUND(Table2[[#This Row],[Quantity]]*Table2[[#This Row],[Unit Price]]*VLOOKUP(Table2[[#This Row],[Product Name]],Table_1[#All],2,FALSE),0)</f>
        <v>1742</v>
      </c>
      <c r="Q500" s="10">
        <f>Table2[[#This Row],[Quantity]]*Table2[[#This Row],[Unit Price]]</f>
        <v>2322</v>
      </c>
      <c r="R500" s="10">
        <f>Table2[[#This Row],[Sales Revenue]]-Table2[[#This Row],[Total Cost After Product Percentage Calc]]</f>
        <v>580</v>
      </c>
    </row>
    <row r="501" spans="1:18" ht="14.25" customHeight="1" x14ac:dyDescent="0.3">
      <c r="A501" s="1">
        <v>500</v>
      </c>
      <c r="B501" s="1" t="s">
        <v>67</v>
      </c>
      <c r="C501" s="1" t="s">
        <v>22</v>
      </c>
      <c r="D501" s="1" t="s">
        <v>87</v>
      </c>
      <c r="E501" s="2">
        <v>45753</v>
      </c>
      <c r="F501" s="4">
        <v>45759</v>
      </c>
      <c r="G501" s="1">
        <v>5</v>
      </c>
      <c r="H501" s="1">
        <v>63</v>
      </c>
      <c r="I501" s="1" t="s">
        <v>14</v>
      </c>
      <c r="J501" s="1" t="s">
        <v>24</v>
      </c>
      <c r="K501" s="1" t="s">
        <v>49</v>
      </c>
      <c r="L501" t="str">
        <f>TEXT(Table2[[#This Row],[Order Date]],"YYY")</f>
        <v>2025</v>
      </c>
      <c r="M501" t="str">
        <f>TEXT(Table2[[#This Row],[Order Date]],"MMM")</f>
        <v>Apr</v>
      </c>
      <c r="N501" t="str">
        <f>TEXT(Table2[[#This Row],[Order Date]],"DDD")</f>
        <v>Sun</v>
      </c>
      <c r="O501">
        <f>DATEDIF(Table2[[#This Row],[Order Date]],Table2[[#This Row],[Delivered Date]],"D")</f>
        <v>6</v>
      </c>
      <c r="P501" s="10">
        <f>ROUND(Table2[[#This Row],[Quantity]]*Table2[[#This Row],[Unit Price]]*VLOOKUP(Table2[[#This Row],[Product Name]],Table_1[#All],2,FALSE),0)</f>
        <v>252</v>
      </c>
      <c r="Q501" s="10">
        <f>Table2[[#This Row],[Quantity]]*Table2[[#This Row],[Unit Price]]</f>
        <v>315</v>
      </c>
      <c r="R501" s="10">
        <f>Table2[[#This Row],[Sales Revenue]]-Table2[[#This Row],[Total Cost After Product Percentage Calc]]</f>
        <v>63</v>
      </c>
    </row>
    <row r="502" spans="1:18" ht="14.25" customHeight="1" x14ac:dyDescent="0.3">
      <c r="A502" s="1">
        <v>501</v>
      </c>
      <c r="B502" s="1" t="s">
        <v>69</v>
      </c>
      <c r="C502" s="1" t="s">
        <v>34</v>
      </c>
      <c r="D502" s="1" t="s">
        <v>35</v>
      </c>
      <c r="E502" s="2">
        <v>45764</v>
      </c>
      <c r="F502" s="4">
        <v>45770</v>
      </c>
      <c r="G502" s="1">
        <v>1</v>
      </c>
      <c r="H502" s="1">
        <v>30</v>
      </c>
      <c r="I502" s="1" t="s">
        <v>30</v>
      </c>
      <c r="J502" s="1" t="s">
        <v>36</v>
      </c>
      <c r="K502" s="1" t="s">
        <v>16</v>
      </c>
      <c r="L502" t="str">
        <f>TEXT(Table2[[#This Row],[Order Date]],"YYY")</f>
        <v>2025</v>
      </c>
      <c r="M502" t="str">
        <f>TEXT(Table2[[#This Row],[Order Date]],"MMM")</f>
        <v>Apr</v>
      </c>
      <c r="N502" t="str">
        <f>TEXT(Table2[[#This Row],[Order Date]],"DDD")</f>
        <v>Thu</v>
      </c>
      <c r="O502">
        <f>DATEDIF(Table2[[#This Row],[Order Date]],Table2[[#This Row],[Delivered Date]],"D")</f>
        <v>6</v>
      </c>
      <c r="P502" s="10">
        <f>ROUND(Table2[[#This Row],[Quantity]]*Table2[[#This Row],[Unit Price]]*VLOOKUP(Table2[[#This Row],[Product Name]],Table_1[#All],2,FALSE),0)</f>
        <v>23</v>
      </c>
      <c r="Q502" s="10">
        <f>Table2[[#This Row],[Quantity]]*Table2[[#This Row],[Unit Price]]</f>
        <v>30</v>
      </c>
      <c r="R502" s="10">
        <f>Table2[[#This Row],[Sales Revenue]]-Table2[[#This Row],[Total Cost After Product Percentage Calc]]</f>
        <v>7</v>
      </c>
    </row>
    <row r="503" spans="1:18" ht="14.25" customHeight="1" x14ac:dyDescent="0.3">
      <c r="A503" s="1">
        <v>502</v>
      </c>
      <c r="B503" s="1" t="s">
        <v>70</v>
      </c>
      <c r="C503" s="1" t="s">
        <v>12</v>
      </c>
      <c r="D503" s="1" t="s">
        <v>13</v>
      </c>
      <c r="E503" s="2">
        <v>45931</v>
      </c>
      <c r="F503" s="4">
        <v>45933</v>
      </c>
      <c r="G503" s="1">
        <v>7</v>
      </c>
      <c r="H503" s="1">
        <v>149</v>
      </c>
      <c r="I503" s="1" t="s">
        <v>30</v>
      </c>
      <c r="J503" s="1" t="s">
        <v>15</v>
      </c>
      <c r="K503" s="1" t="s">
        <v>32</v>
      </c>
      <c r="L503" t="str">
        <f>TEXT(Table2[[#This Row],[Order Date]],"YYY")</f>
        <v>2025</v>
      </c>
      <c r="M503" t="str">
        <f>TEXT(Table2[[#This Row],[Order Date]],"MMM")</f>
        <v>Oct</v>
      </c>
      <c r="N503" t="str">
        <f>TEXT(Table2[[#This Row],[Order Date]],"DDD")</f>
        <v>Wed</v>
      </c>
      <c r="O503">
        <f>DATEDIF(Table2[[#This Row],[Order Date]],Table2[[#This Row],[Delivered Date]],"D")</f>
        <v>2</v>
      </c>
      <c r="P503" s="10">
        <f>ROUND(Table2[[#This Row],[Quantity]]*Table2[[#This Row],[Unit Price]]*VLOOKUP(Table2[[#This Row],[Product Name]],Table_1[#All],2,FALSE),0)</f>
        <v>782</v>
      </c>
      <c r="Q503" s="10">
        <f>Table2[[#This Row],[Quantity]]*Table2[[#This Row],[Unit Price]]</f>
        <v>1043</v>
      </c>
      <c r="R503" s="10">
        <f>Table2[[#This Row],[Sales Revenue]]-Table2[[#This Row],[Total Cost After Product Percentage Calc]]</f>
        <v>261</v>
      </c>
    </row>
    <row r="504" spans="1:18" ht="14.25" customHeight="1" x14ac:dyDescent="0.3">
      <c r="A504" s="1">
        <v>503</v>
      </c>
      <c r="B504" s="1" t="s">
        <v>71</v>
      </c>
      <c r="C504" s="1" t="s">
        <v>34</v>
      </c>
      <c r="D504" s="1" t="s">
        <v>45</v>
      </c>
      <c r="E504" s="2">
        <v>45662</v>
      </c>
      <c r="F504" s="4">
        <v>45663</v>
      </c>
      <c r="G504" s="1">
        <v>4</v>
      </c>
      <c r="H504" s="1">
        <v>212</v>
      </c>
      <c r="I504" s="1" t="s">
        <v>14</v>
      </c>
      <c r="J504" s="1" t="s">
        <v>31</v>
      </c>
      <c r="K504" s="1" t="s">
        <v>16</v>
      </c>
      <c r="L504" t="str">
        <f>TEXT(Table2[[#This Row],[Order Date]],"YYY")</f>
        <v>2025</v>
      </c>
      <c r="M504" t="str">
        <f>TEXT(Table2[[#This Row],[Order Date]],"MMM")</f>
        <v>Jan</v>
      </c>
      <c r="N504" t="str">
        <f>TEXT(Table2[[#This Row],[Order Date]],"DDD")</f>
        <v>Sun</v>
      </c>
      <c r="O504">
        <f>DATEDIF(Table2[[#This Row],[Order Date]],Table2[[#This Row],[Delivered Date]],"D")</f>
        <v>1</v>
      </c>
      <c r="P504" s="10">
        <f>ROUND(Table2[[#This Row],[Quantity]]*Table2[[#This Row],[Unit Price]]*VLOOKUP(Table2[[#This Row],[Product Name]],Table_1[#All],2,FALSE),0)</f>
        <v>551</v>
      </c>
      <c r="Q504" s="10">
        <f>Table2[[#This Row],[Quantity]]*Table2[[#This Row],[Unit Price]]</f>
        <v>848</v>
      </c>
      <c r="R504" s="10">
        <f>Table2[[#This Row],[Sales Revenue]]-Table2[[#This Row],[Total Cost After Product Percentage Calc]]</f>
        <v>297</v>
      </c>
    </row>
    <row r="505" spans="1:18" ht="14.25" customHeight="1" x14ac:dyDescent="0.3">
      <c r="A505" s="1">
        <v>504</v>
      </c>
      <c r="B505" s="1" t="s">
        <v>72</v>
      </c>
      <c r="C505" s="1" t="s">
        <v>26</v>
      </c>
      <c r="D505" s="1" t="s">
        <v>74</v>
      </c>
      <c r="E505" s="2">
        <v>45669</v>
      </c>
      <c r="F505" s="4">
        <v>45684</v>
      </c>
      <c r="G505" s="1">
        <v>10</v>
      </c>
      <c r="H505" s="1">
        <v>639</v>
      </c>
      <c r="I505" s="1" t="s">
        <v>30</v>
      </c>
      <c r="J505" s="1" t="s">
        <v>52</v>
      </c>
      <c r="K505" s="1" t="s">
        <v>49</v>
      </c>
      <c r="L505" t="str">
        <f>TEXT(Table2[[#This Row],[Order Date]],"YYY")</f>
        <v>2025</v>
      </c>
      <c r="M505" t="str">
        <f>TEXT(Table2[[#This Row],[Order Date]],"MMM")</f>
        <v>Jan</v>
      </c>
      <c r="N505" t="str">
        <f>TEXT(Table2[[#This Row],[Order Date]],"DDD")</f>
        <v>Sun</v>
      </c>
      <c r="O505">
        <f>DATEDIF(Table2[[#This Row],[Order Date]],Table2[[#This Row],[Delivered Date]],"D")</f>
        <v>15</v>
      </c>
      <c r="P505" s="10">
        <f>ROUND(Table2[[#This Row],[Quantity]]*Table2[[#This Row],[Unit Price]]*VLOOKUP(Table2[[#This Row],[Product Name]],Table_1[#All],2,FALSE),0)</f>
        <v>3515</v>
      </c>
      <c r="Q505" s="10">
        <f>Table2[[#This Row],[Quantity]]*Table2[[#This Row],[Unit Price]]</f>
        <v>6390</v>
      </c>
      <c r="R505" s="10">
        <f>Table2[[#This Row],[Sales Revenue]]-Table2[[#This Row],[Total Cost After Product Percentage Calc]]</f>
        <v>2875</v>
      </c>
    </row>
    <row r="506" spans="1:18" ht="14.25" customHeight="1" x14ac:dyDescent="0.3">
      <c r="A506" s="1">
        <v>505</v>
      </c>
      <c r="B506" s="1" t="s">
        <v>73</v>
      </c>
      <c r="C506" s="1" t="s">
        <v>18</v>
      </c>
      <c r="D506" s="1" t="s">
        <v>47</v>
      </c>
      <c r="E506" s="2">
        <v>45682</v>
      </c>
      <c r="F506" s="4">
        <v>45683</v>
      </c>
      <c r="G506" s="1">
        <v>7</v>
      </c>
      <c r="H506" s="1">
        <v>785</v>
      </c>
      <c r="I506" s="1" t="s">
        <v>14</v>
      </c>
      <c r="J506" s="1" t="s">
        <v>52</v>
      </c>
      <c r="K506" s="1" t="s">
        <v>20</v>
      </c>
      <c r="L506" t="str">
        <f>TEXT(Table2[[#This Row],[Order Date]],"YYY")</f>
        <v>2025</v>
      </c>
      <c r="M506" t="str">
        <f>TEXT(Table2[[#This Row],[Order Date]],"MMM")</f>
        <v>Jan</v>
      </c>
      <c r="N506" t="str">
        <f>TEXT(Table2[[#This Row],[Order Date]],"DDD")</f>
        <v>Sat</v>
      </c>
      <c r="O506">
        <f>DATEDIF(Table2[[#This Row],[Order Date]],Table2[[#This Row],[Delivered Date]],"D")</f>
        <v>1</v>
      </c>
      <c r="P506" s="10">
        <f>ROUND(Table2[[#This Row],[Quantity]]*Table2[[#This Row],[Unit Price]]*VLOOKUP(Table2[[#This Row],[Product Name]],Table_1[#All],2,FALSE),0)</f>
        <v>3297</v>
      </c>
      <c r="Q506" s="10">
        <f>Table2[[#This Row],[Quantity]]*Table2[[#This Row],[Unit Price]]</f>
        <v>5495</v>
      </c>
      <c r="R506" s="10">
        <f>Table2[[#This Row],[Sales Revenue]]-Table2[[#This Row],[Total Cost After Product Percentage Calc]]</f>
        <v>2198</v>
      </c>
    </row>
    <row r="507" spans="1:18" ht="14.25" customHeight="1" x14ac:dyDescent="0.3">
      <c r="A507" s="1">
        <v>506</v>
      </c>
      <c r="B507" s="1" t="s">
        <v>75</v>
      </c>
      <c r="C507" s="1" t="s">
        <v>22</v>
      </c>
      <c r="D507" s="1" t="s">
        <v>58</v>
      </c>
      <c r="E507" s="2">
        <v>45915</v>
      </c>
      <c r="F507" s="4">
        <v>45918</v>
      </c>
      <c r="G507" s="1">
        <v>8</v>
      </c>
      <c r="H507" s="1">
        <v>656</v>
      </c>
      <c r="I507" s="1" t="s">
        <v>14</v>
      </c>
      <c r="J507" s="1" t="s">
        <v>15</v>
      </c>
      <c r="K507" s="1" t="s">
        <v>49</v>
      </c>
      <c r="L507" t="str">
        <f>TEXT(Table2[[#This Row],[Order Date]],"YYY")</f>
        <v>2025</v>
      </c>
      <c r="M507" t="str">
        <f>TEXT(Table2[[#This Row],[Order Date]],"MMM")</f>
        <v>Sep</v>
      </c>
      <c r="N507" t="str">
        <f>TEXT(Table2[[#This Row],[Order Date]],"DDD")</f>
        <v>Mon</v>
      </c>
      <c r="O507">
        <f>DATEDIF(Table2[[#This Row],[Order Date]],Table2[[#This Row],[Delivered Date]],"D")</f>
        <v>3</v>
      </c>
      <c r="P507" s="10">
        <f>ROUND(Table2[[#This Row],[Quantity]]*Table2[[#This Row],[Unit Price]]*VLOOKUP(Table2[[#This Row],[Product Name]],Table_1[#All],2,FALSE),0)</f>
        <v>3674</v>
      </c>
      <c r="Q507" s="10">
        <f>Table2[[#This Row],[Quantity]]*Table2[[#This Row],[Unit Price]]</f>
        <v>5248</v>
      </c>
      <c r="R507" s="10">
        <f>Table2[[#This Row],[Sales Revenue]]-Table2[[#This Row],[Total Cost After Product Percentage Calc]]</f>
        <v>1574</v>
      </c>
    </row>
    <row r="508" spans="1:18" ht="14.25" customHeight="1" x14ac:dyDescent="0.3">
      <c r="A508" s="1">
        <v>507</v>
      </c>
      <c r="B508" s="1" t="s">
        <v>76</v>
      </c>
      <c r="C508" s="1" t="s">
        <v>22</v>
      </c>
      <c r="D508" s="1" t="s">
        <v>87</v>
      </c>
      <c r="E508" s="2">
        <v>45691</v>
      </c>
      <c r="F508" s="4">
        <v>45699</v>
      </c>
      <c r="G508" s="1">
        <v>3</v>
      </c>
      <c r="H508" s="1">
        <v>703</v>
      </c>
      <c r="I508" s="1" t="s">
        <v>14</v>
      </c>
      <c r="J508" s="1" t="s">
        <v>52</v>
      </c>
      <c r="K508" s="1" t="s">
        <v>32</v>
      </c>
      <c r="L508" t="str">
        <f>TEXT(Table2[[#This Row],[Order Date]],"YYY")</f>
        <v>2025</v>
      </c>
      <c r="M508" t="str">
        <f>TEXT(Table2[[#This Row],[Order Date]],"MMM")</f>
        <v>Feb</v>
      </c>
      <c r="N508" t="str">
        <f>TEXT(Table2[[#This Row],[Order Date]],"DDD")</f>
        <v>Mon</v>
      </c>
      <c r="O508">
        <f>DATEDIF(Table2[[#This Row],[Order Date]],Table2[[#This Row],[Delivered Date]],"D")</f>
        <v>8</v>
      </c>
      <c r="P508" s="10">
        <f>ROUND(Table2[[#This Row],[Quantity]]*Table2[[#This Row],[Unit Price]]*VLOOKUP(Table2[[#This Row],[Product Name]],Table_1[#All],2,FALSE),0)</f>
        <v>1687</v>
      </c>
      <c r="Q508" s="10">
        <f>Table2[[#This Row],[Quantity]]*Table2[[#This Row],[Unit Price]]</f>
        <v>2109</v>
      </c>
      <c r="R508" s="10">
        <f>Table2[[#This Row],[Sales Revenue]]-Table2[[#This Row],[Total Cost After Product Percentage Calc]]</f>
        <v>422</v>
      </c>
    </row>
    <row r="509" spans="1:18" ht="14.25" customHeight="1" x14ac:dyDescent="0.3">
      <c r="A509" s="1">
        <v>508</v>
      </c>
      <c r="B509" s="1" t="s">
        <v>77</v>
      </c>
      <c r="C509" s="1" t="s">
        <v>18</v>
      </c>
      <c r="D509" s="1" t="s">
        <v>19</v>
      </c>
      <c r="E509" s="2">
        <v>45936</v>
      </c>
      <c r="F509" s="4">
        <v>45940</v>
      </c>
      <c r="G509" s="1">
        <v>3</v>
      </c>
      <c r="H509" s="1">
        <v>908</v>
      </c>
      <c r="I509" s="1" t="s">
        <v>30</v>
      </c>
      <c r="J509" s="1" t="s">
        <v>52</v>
      </c>
      <c r="K509" s="1" t="s">
        <v>16</v>
      </c>
      <c r="L509" t="str">
        <f>TEXT(Table2[[#This Row],[Order Date]],"YYY")</f>
        <v>2025</v>
      </c>
      <c r="M509" t="str">
        <f>TEXT(Table2[[#This Row],[Order Date]],"MMM")</f>
        <v>Oct</v>
      </c>
      <c r="N509" t="str">
        <f>TEXT(Table2[[#This Row],[Order Date]],"DDD")</f>
        <v>Mon</v>
      </c>
      <c r="O509">
        <f>DATEDIF(Table2[[#This Row],[Order Date]],Table2[[#This Row],[Delivered Date]],"D")</f>
        <v>4</v>
      </c>
      <c r="P509" s="10">
        <f>ROUND(Table2[[#This Row],[Quantity]]*Table2[[#This Row],[Unit Price]]*VLOOKUP(Table2[[#This Row],[Product Name]],Table_1[#All],2,FALSE),0)</f>
        <v>1362</v>
      </c>
      <c r="Q509" s="10">
        <f>Table2[[#This Row],[Quantity]]*Table2[[#This Row],[Unit Price]]</f>
        <v>2724</v>
      </c>
      <c r="R509" s="10">
        <f>Table2[[#This Row],[Sales Revenue]]-Table2[[#This Row],[Total Cost After Product Percentage Calc]]</f>
        <v>1362</v>
      </c>
    </row>
    <row r="510" spans="1:18" ht="14.25" customHeight="1" x14ac:dyDescent="0.3">
      <c r="A510" s="1">
        <v>509</v>
      </c>
      <c r="B510" s="1" t="s">
        <v>78</v>
      </c>
      <c r="C510" s="1" t="s">
        <v>34</v>
      </c>
      <c r="D510" s="1" t="s">
        <v>54</v>
      </c>
      <c r="E510" s="2">
        <v>45949</v>
      </c>
      <c r="F510" s="4">
        <v>45961</v>
      </c>
      <c r="G510" s="1">
        <v>7</v>
      </c>
      <c r="H510" s="1">
        <v>50</v>
      </c>
      <c r="I510" s="1" t="s">
        <v>30</v>
      </c>
      <c r="J510" s="1" t="s">
        <v>31</v>
      </c>
      <c r="K510" s="1" t="s">
        <v>32</v>
      </c>
      <c r="L510" t="str">
        <f>TEXT(Table2[[#This Row],[Order Date]],"YYY")</f>
        <v>2025</v>
      </c>
      <c r="M510" t="str">
        <f>TEXT(Table2[[#This Row],[Order Date]],"MMM")</f>
        <v>Oct</v>
      </c>
      <c r="N510" t="str">
        <f>TEXT(Table2[[#This Row],[Order Date]],"DDD")</f>
        <v>Sun</v>
      </c>
      <c r="O510">
        <f>DATEDIF(Table2[[#This Row],[Order Date]],Table2[[#This Row],[Delivered Date]],"D")</f>
        <v>12</v>
      </c>
      <c r="P510" s="10">
        <f>ROUND(Table2[[#This Row],[Quantity]]*Table2[[#This Row],[Unit Price]]*VLOOKUP(Table2[[#This Row],[Product Name]],Table_1[#All],2,FALSE),0)</f>
        <v>245</v>
      </c>
      <c r="Q510" s="10">
        <f>Table2[[#This Row],[Quantity]]*Table2[[#This Row],[Unit Price]]</f>
        <v>350</v>
      </c>
      <c r="R510" s="10">
        <f>Table2[[#This Row],[Sales Revenue]]-Table2[[#This Row],[Total Cost After Product Percentage Calc]]</f>
        <v>105</v>
      </c>
    </row>
    <row r="511" spans="1:18" ht="14.25" customHeight="1" x14ac:dyDescent="0.3">
      <c r="A511" s="1">
        <v>510</v>
      </c>
      <c r="B511" s="1" t="s">
        <v>79</v>
      </c>
      <c r="C511" s="1" t="s">
        <v>22</v>
      </c>
      <c r="D511" s="1" t="s">
        <v>58</v>
      </c>
      <c r="E511" s="2">
        <v>45804</v>
      </c>
      <c r="F511" s="4">
        <v>45812</v>
      </c>
      <c r="G511" s="1">
        <v>10</v>
      </c>
      <c r="H511" s="1">
        <v>723</v>
      </c>
      <c r="I511" s="1" t="s">
        <v>30</v>
      </c>
      <c r="J511" s="1" t="s">
        <v>24</v>
      </c>
      <c r="K511" s="1" t="s">
        <v>32</v>
      </c>
      <c r="L511" t="str">
        <f>TEXT(Table2[[#This Row],[Order Date]],"YYY")</f>
        <v>2025</v>
      </c>
      <c r="M511" t="str">
        <f>TEXT(Table2[[#This Row],[Order Date]],"MMM")</f>
        <v>May</v>
      </c>
      <c r="N511" t="str">
        <f>TEXT(Table2[[#This Row],[Order Date]],"DDD")</f>
        <v>Tue</v>
      </c>
      <c r="O511">
        <f>DATEDIF(Table2[[#This Row],[Order Date]],Table2[[#This Row],[Delivered Date]],"D")</f>
        <v>8</v>
      </c>
      <c r="P511" s="10">
        <f>ROUND(Table2[[#This Row],[Quantity]]*Table2[[#This Row],[Unit Price]]*VLOOKUP(Table2[[#This Row],[Product Name]],Table_1[#All],2,FALSE),0)</f>
        <v>5061</v>
      </c>
      <c r="Q511" s="10">
        <f>Table2[[#This Row],[Quantity]]*Table2[[#This Row],[Unit Price]]</f>
        <v>7230</v>
      </c>
      <c r="R511" s="10">
        <f>Table2[[#This Row],[Sales Revenue]]-Table2[[#This Row],[Total Cost After Product Percentage Calc]]</f>
        <v>2169</v>
      </c>
    </row>
    <row r="512" spans="1:18" ht="14.25" customHeight="1" x14ac:dyDescent="0.3">
      <c r="A512" s="1">
        <v>511</v>
      </c>
      <c r="B512" s="1" t="s">
        <v>81</v>
      </c>
      <c r="C512" s="1" t="s">
        <v>22</v>
      </c>
      <c r="D512" s="1" t="s">
        <v>58</v>
      </c>
      <c r="E512" s="2">
        <v>45967</v>
      </c>
      <c r="F512" s="4">
        <v>45973</v>
      </c>
      <c r="G512" s="1">
        <v>7</v>
      </c>
      <c r="H512" s="1">
        <v>568</v>
      </c>
      <c r="I512" s="1" t="s">
        <v>30</v>
      </c>
      <c r="J512" s="1" t="s">
        <v>52</v>
      </c>
      <c r="K512" s="1" t="s">
        <v>49</v>
      </c>
      <c r="L512" t="str">
        <f>TEXT(Table2[[#This Row],[Order Date]],"YYY")</f>
        <v>2025</v>
      </c>
      <c r="M512" t="str">
        <f>TEXT(Table2[[#This Row],[Order Date]],"MMM")</f>
        <v>Nov</v>
      </c>
      <c r="N512" t="str">
        <f>TEXT(Table2[[#This Row],[Order Date]],"DDD")</f>
        <v>Thu</v>
      </c>
      <c r="O512">
        <f>DATEDIF(Table2[[#This Row],[Order Date]],Table2[[#This Row],[Delivered Date]],"D")</f>
        <v>6</v>
      </c>
      <c r="P512" s="10">
        <f>ROUND(Table2[[#This Row],[Quantity]]*Table2[[#This Row],[Unit Price]]*VLOOKUP(Table2[[#This Row],[Product Name]],Table_1[#All],2,FALSE),0)</f>
        <v>2783</v>
      </c>
      <c r="Q512" s="10">
        <f>Table2[[#This Row],[Quantity]]*Table2[[#This Row],[Unit Price]]</f>
        <v>3976</v>
      </c>
      <c r="R512" s="10">
        <f>Table2[[#This Row],[Sales Revenue]]-Table2[[#This Row],[Total Cost After Product Percentage Calc]]</f>
        <v>1193</v>
      </c>
    </row>
    <row r="513" spans="1:18" ht="14.25" customHeight="1" x14ac:dyDescent="0.3">
      <c r="A513" s="1">
        <v>512</v>
      </c>
      <c r="B513" s="1" t="s">
        <v>82</v>
      </c>
      <c r="C513" s="1" t="s">
        <v>22</v>
      </c>
      <c r="D513" s="1" t="s">
        <v>87</v>
      </c>
      <c r="E513" s="2">
        <v>45972</v>
      </c>
      <c r="F513" s="4">
        <v>45987</v>
      </c>
      <c r="G513" s="1">
        <v>6</v>
      </c>
      <c r="H513" s="1">
        <v>250</v>
      </c>
      <c r="I513" s="1" t="s">
        <v>30</v>
      </c>
      <c r="J513" s="1" t="s">
        <v>31</v>
      </c>
      <c r="K513" s="1" t="s">
        <v>32</v>
      </c>
      <c r="L513" t="str">
        <f>TEXT(Table2[[#This Row],[Order Date]],"YYY")</f>
        <v>2025</v>
      </c>
      <c r="M513" t="str">
        <f>TEXT(Table2[[#This Row],[Order Date]],"MMM")</f>
        <v>Nov</v>
      </c>
      <c r="N513" t="str">
        <f>TEXT(Table2[[#This Row],[Order Date]],"DDD")</f>
        <v>Tue</v>
      </c>
      <c r="O513">
        <f>DATEDIF(Table2[[#This Row],[Order Date]],Table2[[#This Row],[Delivered Date]],"D")</f>
        <v>15</v>
      </c>
      <c r="P513" s="10">
        <f>ROUND(Table2[[#This Row],[Quantity]]*Table2[[#This Row],[Unit Price]]*VLOOKUP(Table2[[#This Row],[Product Name]],Table_1[#All],2,FALSE),0)</f>
        <v>1200</v>
      </c>
      <c r="Q513" s="10">
        <f>Table2[[#This Row],[Quantity]]*Table2[[#This Row],[Unit Price]]</f>
        <v>1500</v>
      </c>
      <c r="R513" s="10">
        <f>Table2[[#This Row],[Sales Revenue]]-Table2[[#This Row],[Total Cost After Product Percentage Calc]]</f>
        <v>300</v>
      </c>
    </row>
    <row r="514" spans="1:18" ht="14.25" customHeight="1" x14ac:dyDescent="0.3">
      <c r="A514" s="1">
        <v>513</v>
      </c>
      <c r="B514" s="1" t="s">
        <v>84</v>
      </c>
      <c r="C514" s="1" t="s">
        <v>12</v>
      </c>
      <c r="D514" s="1" t="s">
        <v>62</v>
      </c>
      <c r="E514" s="2">
        <v>45693</v>
      </c>
      <c r="F514" s="4">
        <v>45694</v>
      </c>
      <c r="G514" s="1">
        <v>4</v>
      </c>
      <c r="H514" s="1">
        <v>572</v>
      </c>
      <c r="I514" s="1" t="s">
        <v>14</v>
      </c>
      <c r="J514" s="1" t="s">
        <v>31</v>
      </c>
      <c r="K514" s="1" t="s">
        <v>32</v>
      </c>
      <c r="L514" t="str">
        <f>TEXT(Table2[[#This Row],[Order Date]],"YYY")</f>
        <v>2025</v>
      </c>
      <c r="M514" t="str">
        <f>TEXT(Table2[[#This Row],[Order Date]],"MMM")</f>
        <v>Feb</v>
      </c>
      <c r="N514" t="str">
        <f>TEXT(Table2[[#This Row],[Order Date]],"DDD")</f>
        <v>Wed</v>
      </c>
      <c r="O514">
        <f>DATEDIF(Table2[[#This Row],[Order Date]],Table2[[#This Row],[Delivered Date]],"D")</f>
        <v>1</v>
      </c>
      <c r="P514" s="10">
        <f>ROUND(Table2[[#This Row],[Quantity]]*Table2[[#This Row],[Unit Price]]*VLOOKUP(Table2[[#This Row],[Product Name]],Table_1[#All],2,FALSE),0)</f>
        <v>1945</v>
      </c>
      <c r="Q514" s="10">
        <f>Table2[[#This Row],[Quantity]]*Table2[[#This Row],[Unit Price]]</f>
        <v>2288</v>
      </c>
      <c r="R514" s="10">
        <f>Table2[[#This Row],[Sales Revenue]]-Table2[[#This Row],[Total Cost After Product Percentage Calc]]</f>
        <v>343</v>
      </c>
    </row>
    <row r="515" spans="1:18" ht="14.25" customHeight="1" x14ac:dyDescent="0.3">
      <c r="A515" s="1">
        <v>514</v>
      </c>
      <c r="B515" s="1" t="s">
        <v>85</v>
      </c>
      <c r="C515" s="1" t="s">
        <v>34</v>
      </c>
      <c r="D515" s="1" t="s">
        <v>45</v>
      </c>
      <c r="E515" s="2">
        <v>45678</v>
      </c>
      <c r="F515" s="4">
        <v>45692</v>
      </c>
      <c r="G515" s="1">
        <v>8</v>
      </c>
      <c r="H515" s="1">
        <v>849</v>
      </c>
      <c r="I515" s="1" t="s">
        <v>30</v>
      </c>
      <c r="J515" s="1" t="s">
        <v>15</v>
      </c>
      <c r="K515" s="1" t="s">
        <v>20</v>
      </c>
      <c r="L515" t="str">
        <f>TEXT(Table2[[#This Row],[Order Date]],"YYY")</f>
        <v>2025</v>
      </c>
      <c r="M515" t="str">
        <f>TEXT(Table2[[#This Row],[Order Date]],"MMM")</f>
        <v>Jan</v>
      </c>
      <c r="N515" t="str">
        <f>TEXT(Table2[[#This Row],[Order Date]],"DDD")</f>
        <v>Tue</v>
      </c>
      <c r="O515">
        <f>DATEDIF(Table2[[#This Row],[Order Date]],Table2[[#This Row],[Delivered Date]],"D")</f>
        <v>14</v>
      </c>
      <c r="P515" s="10">
        <f>ROUND(Table2[[#This Row],[Quantity]]*Table2[[#This Row],[Unit Price]]*VLOOKUP(Table2[[#This Row],[Product Name]],Table_1[#All],2,FALSE),0)</f>
        <v>4415</v>
      </c>
      <c r="Q515" s="10">
        <f>Table2[[#This Row],[Quantity]]*Table2[[#This Row],[Unit Price]]</f>
        <v>6792</v>
      </c>
      <c r="R515" s="10">
        <f>Table2[[#This Row],[Sales Revenue]]-Table2[[#This Row],[Total Cost After Product Percentage Calc]]</f>
        <v>2377</v>
      </c>
    </row>
    <row r="516" spans="1:18" ht="14.25" customHeight="1" x14ac:dyDescent="0.3">
      <c r="A516" s="1">
        <v>515</v>
      </c>
      <c r="B516" s="1" t="s">
        <v>86</v>
      </c>
      <c r="C516" s="1" t="s">
        <v>26</v>
      </c>
      <c r="D516" s="1" t="s">
        <v>27</v>
      </c>
      <c r="E516" s="2">
        <v>45733</v>
      </c>
      <c r="F516" s="4">
        <v>45736</v>
      </c>
      <c r="G516" s="1">
        <v>8</v>
      </c>
      <c r="H516" s="1">
        <v>858</v>
      </c>
      <c r="I516" s="1" t="s">
        <v>30</v>
      </c>
      <c r="J516" s="1" t="s">
        <v>52</v>
      </c>
      <c r="K516" s="1" t="s">
        <v>20</v>
      </c>
      <c r="L516" t="str">
        <f>TEXT(Table2[[#This Row],[Order Date]],"YYY")</f>
        <v>2025</v>
      </c>
      <c r="M516" t="str">
        <f>TEXT(Table2[[#This Row],[Order Date]],"MMM")</f>
        <v>Mar</v>
      </c>
      <c r="N516" t="str">
        <f>TEXT(Table2[[#This Row],[Order Date]],"DDD")</f>
        <v>Mon</v>
      </c>
      <c r="O516">
        <f>DATEDIF(Table2[[#This Row],[Order Date]],Table2[[#This Row],[Delivered Date]],"D")</f>
        <v>3</v>
      </c>
      <c r="P516" s="10">
        <f>ROUND(Table2[[#This Row],[Quantity]]*Table2[[#This Row],[Unit Price]]*VLOOKUP(Table2[[#This Row],[Product Name]],Table_1[#All],2,FALSE),0)</f>
        <v>3775</v>
      </c>
      <c r="Q516" s="10">
        <f>Table2[[#This Row],[Quantity]]*Table2[[#This Row],[Unit Price]]</f>
        <v>6864</v>
      </c>
      <c r="R516" s="10">
        <f>Table2[[#This Row],[Sales Revenue]]-Table2[[#This Row],[Total Cost After Product Percentage Calc]]</f>
        <v>3089</v>
      </c>
    </row>
    <row r="517" spans="1:18" ht="14.25" customHeight="1" x14ac:dyDescent="0.3">
      <c r="A517" s="1">
        <v>516</v>
      </c>
      <c r="B517" s="1" t="s">
        <v>88</v>
      </c>
      <c r="C517" s="1" t="s">
        <v>18</v>
      </c>
      <c r="D517" s="1" t="s">
        <v>47</v>
      </c>
      <c r="E517" s="2">
        <v>45844</v>
      </c>
      <c r="F517" s="4">
        <v>45852</v>
      </c>
      <c r="G517" s="1">
        <v>1</v>
      </c>
      <c r="H517" s="1">
        <v>256</v>
      </c>
      <c r="I517" s="1" t="s">
        <v>14</v>
      </c>
      <c r="J517" s="1" t="s">
        <v>36</v>
      </c>
      <c r="K517" s="1" t="s">
        <v>49</v>
      </c>
      <c r="L517" t="str">
        <f>TEXT(Table2[[#This Row],[Order Date]],"YYY")</f>
        <v>2025</v>
      </c>
      <c r="M517" t="str">
        <f>TEXT(Table2[[#This Row],[Order Date]],"MMM")</f>
        <v>Jul</v>
      </c>
      <c r="N517" t="str">
        <f>TEXT(Table2[[#This Row],[Order Date]],"DDD")</f>
        <v>Sun</v>
      </c>
      <c r="O517">
        <f>DATEDIF(Table2[[#This Row],[Order Date]],Table2[[#This Row],[Delivered Date]],"D")</f>
        <v>8</v>
      </c>
      <c r="P517" s="10">
        <f>ROUND(Table2[[#This Row],[Quantity]]*Table2[[#This Row],[Unit Price]]*VLOOKUP(Table2[[#This Row],[Product Name]],Table_1[#All],2,FALSE),0)</f>
        <v>154</v>
      </c>
      <c r="Q517" s="10">
        <f>Table2[[#This Row],[Quantity]]*Table2[[#This Row],[Unit Price]]</f>
        <v>256</v>
      </c>
      <c r="R517" s="10">
        <f>Table2[[#This Row],[Sales Revenue]]-Table2[[#This Row],[Total Cost After Product Percentage Calc]]</f>
        <v>102</v>
      </c>
    </row>
    <row r="518" spans="1:18" ht="14.25" customHeight="1" x14ac:dyDescent="0.3">
      <c r="A518" s="1">
        <v>517</v>
      </c>
      <c r="B518" s="1" t="s">
        <v>89</v>
      </c>
      <c r="C518" s="1" t="s">
        <v>12</v>
      </c>
      <c r="D518" s="1" t="s">
        <v>13</v>
      </c>
      <c r="E518" s="2">
        <v>45799</v>
      </c>
      <c r="F518" s="4">
        <v>45806</v>
      </c>
      <c r="G518" s="1">
        <v>8</v>
      </c>
      <c r="H518" s="1">
        <v>453</v>
      </c>
      <c r="I518" s="1" t="s">
        <v>30</v>
      </c>
      <c r="J518" s="1" t="s">
        <v>24</v>
      </c>
      <c r="K518" s="1" t="s">
        <v>20</v>
      </c>
      <c r="L518" t="str">
        <f>TEXT(Table2[[#This Row],[Order Date]],"YYY")</f>
        <v>2025</v>
      </c>
      <c r="M518" t="str">
        <f>TEXT(Table2[[#This Row],[Order Date]],"MMM")</f>
        <v>May</v>
      </c>
      <c r="N518" t="str">
        <f>TEXT(Table2[[#This Row],[Order Date]],"DDD")</f>
        <v>Thu</v>
      </c>
      <c r="O518">
        <f>DATEDIF(Table2[[#This Row],[Order Date]],Table2[[#This Row],[Delivered Date]],"D")</f>
        <v>7</v>
      </c>
      <c r="P518" s="10">
        <f>ROUND(Table2[[#This Row],[Quantity]]*Table2[[#This Row],[Unit Price]]*VLOOKUP(Table2[[#This Row],[Product Name]],Table_1[#All],2,FALSE),0)</f>
        <v>2718</v>
      </c>
      <c r="Q518" s="10">
        <f>Table2[[#This Row],[Quantity]]*Table2[[#This Row],[Unit Price]]</f>
        <v>3624</v>
      </c>
      <c r="R518" s="10">
        <f>Table2[[#This Row],[Sales Revenue]]-Table2[[#This Row],[Total Cost After Product Percentage Calc]]</f>
        <v>906</v>
      </c>
    </row>
    <row r="519" spans="1:18" ht="14.25" customHeight="1" x14ac:dyDescent="0.3">
      <c r="A519" s="1">
        <v>518</v>
      </c>
      <c r="B519" s="1" t="s">
        <v>90</v>
      </c>
      <c r="C519" s="1" t="s">
        <v>26</v>
      </c>
      <c r="D519" s="1" t="s">
        <v>27</v>
      </c>
      <c r="E519" s="2">
        <v>45822</v>
      </c>
      <c r="F519" s="4">
        <v>45836</v>
      </c>
      <c r="G519" s="1">
        <v>6</v>
      </c>
      <c r="H519" s="1">
        <v>218</v>
      </c>
      <c r="I519" s="1" t="s">
        <v>30</v>
      </c>
      <c r="J519" s="1" t="s">
        <v>36</v>
      </c>
      <c r="K519" s="1" t="s">
        <v>16</v>
      </c>
      <c r="L519" t="str">
        <f>TEXT(Table2[[#This Row],[Order Date]],"YYY")</f>
        <v>2025</v>
      </c>
      <c r="M519" t="str">
        <f>TEXT(Table2[[#This Row],[Order Date]],"MMM")</f>
        <v>Jun</v>
      </c>
      <c r="N519" t="str">
        <f>TEXT(Table2[[#This Row],[Order Date]],"DDD")</f>
        <v>Sat</v>
      </c>
      <c r="O519">
        <f>DATEDIF(Table2[[#This Row],[Order Date]],Table2[[#This Row],[Delivered Date]],"D")</f>
        <v>14</v>
      </c>
      <c r="P519" s="10">
        <f>ROUND(Table2[[#This Row],[Quantity]]*Table2[[#This Row],[Unit Price]]*VLOOKUP(Table2[[#This Row],[Product Name]],Table_1[#All],2,FALSE),0)</f>
        <v>719</v>
      </c>
      <c r="Q519" s="10">
        <f>Table2[[#This Row],[Quantity]]*Table2[[#This Row],[Unit Price]]</f>
        <v>1308</v>
      </c>
      <c r="R519" s="10">
        <f>Table2[[#This Row],[Sales Revenue]]-Table2[[#This Row],[Total Cost After Product Percentage Calc]]</f>
        <v>589</v>
      </c>
    </row>
    <row r="520" spans="1:18" ht="14.25" customHeight="1" x14ac:dyDescent="0.3">
      <c r="A520" s="1">
        <v>519</v>
      </c>
      <c r="B520" s="1" t="s">
        <v>91</v>
      </c>
      <c r="C520" s="1" t="s">
        <v>18</v>
      </c>
      <c r="D520" s="1" t="s">
        <v>47</v>
      </c>
      <c r="E520" s="2">
        <v>46009</v>
      </c>
      <c r="F520" s="4">
        <v>46018</v>
      </c>
      <c r="G520" s="1">
        <v>7</v>
      </c>
      <c r="H520" s="1">
        <v>481</v>
      </c>
      <c r="I520" s="1" t="s">
        <v>30</v>
      </c>
      <c r="J520" s="1" t="s">
        <v>24</v>
      </c>
      <c r="K520" s="1" t="s">
        <v>49</v>
      </c>
      <c r="L520" t="str">
        <f>TEXT(Table2[[#This Row],[Order Date]],"YYY")</f>
        <v>2025</v>
      </c>
      <c r="M520" t="str">
        <f>TEXT(Table2[[#This Row],[Order Date]],"MMM")</f>
        <v>Dec</v>
      </c>
      <c r="N520" t="str">
        <f>TEXT(Table2[[#This Row],[Order Date]],"DDD")</f>
        <v>Thu</v>
      </c>
      <c r="O520">
        <f>DATEDIF(Table2[[#This Row],[Order Date]],Table2[[#This Row],[Delivered Date]],"D")</f>
        <v>9</v>
      </c>
      <c r="P520" s="10">
        <f>ROUND(Table2[[#This Row],[Quantity]]*Table2[[#This Row],[Unit Price]]*VLOOKUP(Table2[[#This Row],[Product Name]],Table_1[#All],2,FALSE),0)</f>
        <v>2020</v>
      </c>
      <c r="Q520" s="10">
        <f>Table2[[#This Row],[Quantity]]*Table2[[#This Row],[Unit Price]]</f>
        <v>3367</v>
      </c>
      <c r="R520" s="10">
        <f>Table2[[#This Row],[Sales Revenue]]-Table2[[#This Row],[Total Cost After Product Percentage Calc]]</f>
        <v>1347</v>
      </c>
    </row>
    <row r="521" spans="1:18" ht="14.25" customHeight="1" x14ac:dyDescent="0.3">
      <c r="A521" s="1">
        <v>520</v>
      </c>
      <c r="B521" s="1" t="s">
        <v>92</v>
      </c>
      <c r="C521" s="1" t="s">
        <v>22</v>
      </c>
      <c r="D521" s="1" t="s">
        <v>23</v>
      </c>
      <c r="E521" s="2">
        <v>45756</v>
      </c>
      <c r="F521" s="4">
        <v>45764</v>
      </c>
      <c r="G521" s="1">
        <v>1</v>
      </c>
      <c r="H521" s="1">
        <v>420</v>
      </c>
      <c r="I521" s="1" t="s">
        <v>14</v>
      </c>
      <c r="J521" s="1" t="s">
        <v>31</v>
      </c>
      <c r="K521" s="1" t="s">
        <v>32</v>
      </c>
      <c r="L521" t="str">
        <f>TEXT(Table2[[#This Row],[Order Date]],"YYY")</f>
        <v>2025</v>
      </c>
      <c r="M521" t="str">
        <f>TEXT(Table2[[#This Row],[Order Date]],"MMM")</f>
        <v>Apr</v>
      </c>
      <c r="N521" t="str">
        <f>TEXT(Table2[[#This Row],[Order Date]],"DDD")</f>
        <v>Wed</v>
      </c>
      <c r="O521">
        <f>DATEDIF(Table2[[#This Row],[Order Date]],Table2[[#This Row],[Delivered Date]],"D")</f>
        <v>8</v>
      </c>
      <c r="P521" s="10">
        <f>ROUND(Table2[[#This Row],[Quantity]]*Table2[[#This Row],[Unit Price]]*VLOOKUP(Table2[[#This Row],[Product Name]],Table_1[#All],2,FALSE),0)</f>
        <v>315</v>
      </c>
      <c r="Q521" s="10">
        <f>Table2[[#This Row],[Quantity]]*Table2[[#This Row],[Unit Price]]</f>
        <v>420</v>
      </c>
      <c r="R521" s="10">
        <f>Table2[[#This Row],[Sales Revenue]]-Table2[[#This Row],[Total Cost After Product Percentage Calc]]</f>
        <v>105</v>
      </c>
    </row>
    <row r="522" spans="1:18" ht="14.25" customHeight="1" x14ac:dyDescent="0.3">
      <c r="A522" s="1">
        <v>521</v>
      </c>
      <c r="B522" s="1" t="s">
        <v>93</v>
      </c>
      <c r="C522" s="1" t="s">
        <v>18</v>
      </c>
      <c r="D522" s="1" t="s">
        <v>19</v>
      </c>
      <c r="E522" s="2">
        <v>45871</v>
      </c>
      <c r="F522" s="4">
        <v>45875</v>
      </c>
      <c r="G522" s="1">
        <v>1</v>
      </c>
      <c r="H522" s="1">
        <v>98</v>
      </c>
      <c r="I522" s="1" t="s">
        <v>30</v>
      </c>
      <c r="J522" s="1" t="s">
        <v>31</v>
      </c>
      <c r="K522" s="1" t="s">
        <v>49</v>
      </c>
      <c r="L522" t="str">
        <f>TEXT(Table2[[#This Row],[Order Date]],"YYY")</f>
        <v>2025</v>
      </c>
      <c r="M522" t="str">
        <f>TEXT(Table2[[#This Row],[Order Date]],"MMM")</f>
        <v>Aug</v>
      </c>
      <c r="N522" t="str">
        <f>TEXT(Table2[[#This Row],[Order Date]],"DDD")</f>
        <v>Sat</v>
      </c>
      <c r="O522">
        <f>DATEDIF(Table2[[#This Row],[Order Date]],Table2[[#This Row],[Delivered Date]],"D")</f>
        <v>4</v>
      </c>
      <c r="P522" s="10">
        <f>ROUND(Table2[[#This Row],[Quantity]]*Table2[[#This Row],[Unit Price]]*VLOOKUP(Table2[[#This Row],[Product Name]],Table_1[#All],2,FALSE),0)</f>
        <v>49</v>
      </c>
      <c r="Q522" s="10">
        <f>Table2[[#This Row],[Quantity]]*Table2[[#This Row],[Unit Price]]</f>
        <v>98</v>
      </c>
      <c r="R522" s="10">
        <f>Table2[[#This Row],[Sales Revenue]]-Table2[[#This Row],[Total Cost After Product Percentage Calc]]</f>
        <v>49</v>
      </c>
    </row>
    <row r="523" spans="1:18" ht="14.25" customHeight="1" x14ac:dyDescent="0.3">
      <c r="A523" s="1">
        <v>522</v>
      </c>
      <c r="B523" s="1" t="s">
        <v>94</v>
      </c>
      <c r="C523" s="1" t="s">
        <v>34</v>
      </c>
      <c r="D523" s="1" t="s">
        <v>80</v>
      </c>
      <c r="E523" s="2">
        <v>45714</v>
      </c>
      <c r="F523" s="4">
        <v>45721</v>
      </c>
      <c r="G523" s="1">
        <v>1</v>
      </c>
      <c r="H523" s="1">
        <v>444</v>
      </c>
      <c r="I523" s="1" t="s">
        <v>30</v>
      </c>
      <c r="J523" s="1" t="s">
        <v>31</v>
      </c>
      <c r="K523" s="1" t="s">
        <v>16</v>
      </c>
      <c r="L523" t="str">
        <f>TEXT(Table2[[#This Row],[Order Date]],"YYY")</f>
        <v>2025</v>
      </c>
      <c r="M523" t="str">
        <f>TEXT(Table2[[#This Row],[Order Date]],"MMM")</f>
        <v>Feb</v>
      </c>
      <c r="N523" t="str">
        <f>TEXT(Table2[[#This Row],[Order Date]],"DDD")</f>
        <v>Wed</v>
      </c>
      <c r="O523">
        <f>DATEDIF(Table2[[#This Row],[Order Date]],Table2[[#This Row],[Delivered Date]],"D")</f>
        <v>7</v>
      </c>
      <c r="P523" s="10">
        <f>ROUND(Table2[[#This Row],[Quantity]]*Table2[[#This Row],[Unit Price]]*VLOOKUP(Table2[[#This Row],[Product Name]],Table_1[#All],2,FALSE),0)</f>
        <v>333</v>
      </c>
      <c r="Q523" s="10">
        <f>Table2[[#This Row],[Quantity]]*Table2[[#This Row],[Unit Price]]</f>
        <v>444</v>
      </c>
      <c r="R523" s="10">
        <f>Table2[[#This Row],[Sales Revenue]]-Table2[[#This Row],[Total Cost After Product Percentage Calc]]</f>
        <v>111</v>
      </c>
    </row>
    <row r="524" spans="1:18" ht="14.25" customHeight="1" x14ac:dyDescent="0.3">
      <c r="A524" s="1">
        <v>523</v>
      </c>
      <c r="B524" s="1" t="s">
        <v>95</v>
      </c>
      <c r="C524" s="1" t="s">
        <v>18</v>
      </c>
      <c r="D524" s="1" t="s">
        <v>68</v>
      </c>
      <c r="E524" s="2">
        <v>45995</v>
      </c>
      <c r="F524" s="4">
        <v>46001</v>
      </c>
      <c r="G524" s="1">
        <v>5</v>
      </c>
      <c r="H524" s="1">
        <v>858</v>
      </c>
      <c r="I524" s="1" t="s">
        <v>14</v>
      </c>
      <c r="J524" s="1" t="s">
        <v>24</v>
      </c>
      <c r="K524" s="1" t="s">
        <v>49</v>
      </c>
      <c r="L524" t="str">
        <f>TEXT(Table2[[#This Row],[Order Date]],"YYY")</f>
        <v>2025</v>
      </c>
      <c r="M524" t="str">
        <f>TEXT(Table2[[#This Row],[Order Date]],"MMM")</f>
        <v>Dec</v>
      </c>
      <c r="N524" t="str">
        <f>TEXT(Table2[[#This Row],[Order Date]],"DDD")</f>
        <v>Thu</v>
      </c>
      <c r="O524">
        <f>DATEDIF(Table2[[#This Row],[Order Date]],Table2[[#This Row],[Delivered Date]],"D")</f>
        <v>6</v>
      </c>
      <c r="P524" s="10">
        <f>ROUND(Table2[[#This Row],[Quantity]]*Table2[[#This Row],[Unit Price]]*VLOOKUP(Table2[[#This Row],[Product Name]],Table_1[#All],2,FALSE),0)</f>
        <v>2145</v>
      </c>
      <c r="Q524" s="10">
        <f>Table2[[#This Row],[Quantity]]*Table2[[#This Row],[Unit Price]]</f>
        <v>4290</v>
      </c>
      <c r="R524" s="10">
        <f>Table2[[#This Row],[Sales Revenue]]-Table2[[#This Row],[Total Cost After Product Percentage Calc]]</f>
        <v>2145</v>
      </c>
    </row>
    <row r="525" spans="1:18" ht="14.25" customHeight="1" x14ac:dyDescent="0.3">
      <c r="A525" s="1">
        <v>524</v>
      </c>
      <c r="B525" s="1" t="s">
        <v>96</v>
      </c>
      <c r="C525" s="1" t="s">
        <v>18</v>
      </c>
      <c r="D525" s="1" t="s">
        <v>60</v>
      </c>
      <c r="E525" s="2">
        <v>45905</v>
      </c>
      <c r="F525" s="4">
        <v>45915</v>
      </c>
      <c r="G525" s="1">
        <v>6</v>
      </c>
      <c r="H525" s="1">
        <v>914</v>
      </c>
      <c r="I525" s="1" t="s">
        <v>14</v>
      </c>
      <c r="J525" s="1" t="s">
        <v>15</v>
      </c>
      <c r="K525" s="1" t="s">
        <v>49</v>
      </c>
      <c r="L525" t="str">
        <f>TEXT(Table2[[#This Row],[Order Date]],"YYY")</f>
        <v>2025</v>
      </c>
      <c r="M525" t="str">
        <f>TEXT(Table2[[#This Row],[Order Date]],"MMM")</f>
        <v>Sep</v>
      </c>
      <c r="N525" t="str">
        <f>TEXT(Table2[[#This Row],[Order Date]],"DDD")</f>
        <v>Fri</v>
      </c>
      <c r="O525">
        <f>DATEDIF(Table2[[#This Row],[Order Date]],Table2[[#This Row],[Delivered Date]],"D")</f>
        <v>10</v>
      </c>
      <c r="P525" s="10">
        <f>ROUND(Table2[[#This Row],[Quantity]]*Table2[[#This Row],[Unit Price]]*VLOOKUP(Table2[[#This Row],[Product Name]],Table_1[#All],2,FALSE),0)</f>
        <v>3016</v>
      </c>
      <c r="Q525" s="10">
        <f>Table2[[#This Row],[Quantity]]*Table2[[#This Row],[Unit Price]]</f>
        <v>5484</v>
      </c>
      <c r="R525" s="10">
        <f>Table2[[#This Row],[Sales Revenue]]-Table2[[#This Row],[Total Cost After Product Percentage Calc]]</f>
        <v>2468</v>
      </c>
    </row>
    <row r="526" spans="1:18" ht="14.25" customHeight="1" x14ac:dyDescent="0.3">
      <c r="A526" s="1">
        <v>525</v>
      </c>
      <c r="B526" s="1" t="s">
        <v>97</v>
      </c>
      <c r="C526" s="1" t="s">
        <v>12</v>
      </c>
      <c r="D526" s="1" t="s">
        <v>62</v>
      </c>
      <c r="E526" s="2">
        <v>45935</v>
      </c>
      <c r="F526" s="4">
        <v>45949</v>
      </c>
      <c r="G526" s="1">
        <v>5</v>
      </c>
      <c r="H526" s="1">
        <v>163</v>
      </c>
      <c r="I526" s="1" t="s">
        <v>30</v>
      </c>
      <c r="J526" s="1" t="s">
        <v>31</v>
      </c>
      <c r="K526" s="1" t="s">
        <v>16</v>
      </c>
      <c r="L526" t="str">
        <f>TEXT(Table2[[#This Row],[Order Date]],"YYY")</f>
        <v>2025</v>
      </c>
      <c r="M526" t="str">
        <f>TEXT(Table2[[#This Row],[Order Date]],"MMM")</f>
        <v>Oct</v>
      </c>
      <c r="N526" t="str">
        <f>TEXT(Table2[[#This Row],[Order Date]],"DDD")</f>
        <v>Sun</v>
      </c>
      <c r="O526">
        <f>DATEDIF(Table2[[#This Row],[Order Date]],Table2[[#This Row],[Delivered Date]],"D")</f>
        <v>14</v>
      </c>
      <c r="P526" s="10">
        <f>ROUND(Table2[[#This Row],[Quantity]]*Table2[[#This Row],[Unit Price]]*VLOOKUP(Table2[[#This Row],[Product Name]],Table_1[#All],2,FALSE),0)</f>
        <v>693</v>
      </c>
      <c r="Q526" s="10">
        <f>Table2[[#This Row],[Quantity]]*Table2[[#This Row],[Unit Price]]</f>
        <v>815</v>
      </c>
      <c r="R526" s="10">
        <f>Table2[[#This Row],[Sales Revenue]]-Table2[[#This Row],[Total Cost After Product Percentage Calc]]</f>
        <v>122</v>
      </c>
    </row>
    <row r="527" spans="1:18" ht="14.25" customHeight="1" x14ac:dyDescent="0.3">
      <c r="A527" s="1">
        <v>526</v>
      </c>
      <c r="B527" s="1" t="s">
        <v>98</v>
      </c>
      <c r="C527" s="1" t="s">
        <v>26</v>
      </c>
      <c r="D527" s="1" t="s">
        <v>74</v>
      </c>
      <c r="E527" s="2">
        <v>45986</v>
      </c>
      <c r="F527" s="4">
        <v>45996</v>
      </c>
      <c r="G527" s="1">
        <v>9</v>
      </c>
      <c r="H527" s="1">
        <v>811</v>
      </c>
      <c r="I527" s="1" t="s">
        <v>30</v>
      </c>
      <c r="J527" s="1" t="s">
        <v>15</v>
      </c>
      <c r="K527" s="1" t="s">
        <v>32</v>
      </c>
      <c r="L527" t="str">
        <f>TEXT(Table2[[#This Row],[Order Date]],"YYY")</f>
        <v>2025</v>
      </c>
      <c r="M527" t="str">
        <f>TEXT(Table2[[#This Row],[Order Date]],"MMM")</f>
        <v>Nov</v>
      </c>
      <c r="N527" t="str">
        <f>TEXT(Table2[[#This Row],[Order Date]],"DDD")</f>
        <v>Tue</v>
      </c>
      <c r="O527">
        <f>DATEDIF(Table2[[#This Row],[Order Date]],Table2[[#This Row],[Delivered Date]],"D")</f>
        <v>10</v>
      </c>
      <c r="P527" s="10">
        <f>ROUND(Table2[[#This Row],[Quantity]]*Table2[[#This Row],[Unit Price]]*VLOOKUP(Table2[[#This Row],[Product Name]],Table_1[#All],2,FALSE),0)</f>
        <v>4014</v>
      </c>
      <c r="Q527" s="10">
        <f>Table2[[#This Row],[Quantity]]*Table2[[#This Row],[Unit Price]]</f>
        <v>7299</v>
      </c>
      <c r="R527" s="10">
        <f>Table2[[#This Row],[Sales Revenue]]-Table2[[#This Row],[Total Cost After Product Percentage Calc]]</f>
        <v>3285</v>
      </c>
    </row>
    <row r="528" spans="1:18" ht="14.25" customHeight="1" x14ac:dyDescent="0.3">
      <c r="A528" s="1">
        <v>527</v>
      </c>
      <c r="B528" s="1" t="s">
        <v>99</v>
      </c>
      <c r="C528" s="1" t="s">
        <v>26</v>
      </c>
      <c r="D528" s="1" t="s">
        <v>27</v>
      </c>
      <c r="E528" s="2">
        <v>45966</v>
      </c>
      <c r="F528" s="4">
        <v>45968</v>
      </c>
      <c r="G528" s="1">
        <v>9</v>
      </c>
      <c r="H528" s="1">
        <v>828</v>
      </c>
      <c r="I528" s="1" t="s">
        <v>14</v>
      </c>
      <c r="J528" s="1" t="s">
        <v>24</v>
      </c>
      <c r="K528" s="1" t="s">
        <v>20</v>
      </c>
      <c r="L528" t="str">
        <f>TEXT(Table2[[#This Row],[Order Date]],"YYY")</f>
        <v>2025</v>
      </c>
      <c r="M528" t="str">
        <f>TEXT(Table2[[#This Row],[Order Date]],"MMM")</f>
        <v>Nov</v>
      </c>
      <c r="N528" t="str">
        <f>TEXT(Table2[[#This Row],[Order Date]],"DDD")</f>
        <v>Wed</v>
      </c>
      <c r="O528">
        <f>DATEDIF(Table2[[#This Row],[Order Date]],Table2[[#This Row],[Delivered Date]],"D")</f>
        <v>2</v>
      </c>
      <c r="P528" s="10">
        <f>ROUND(Table2[[#This Row],[Quantity]]*Table2[[#This Row],[Unit Price]]*VLOOKUP(Table2[[#This Row],[Product Name]],Table_1[#All],2,FALSE),0)</f>
        <v>4099</v>
      </c>
      <c r="Q528" s="10">
        <f>Table2[[#This Row],[Quantity]]*Table2[[#This Row],[Unit Price]]</f>
        <v>7452</v>
      </c>
      <c r="R528" s="10">
        <f>Table2[[#This Row],[Sales Revenue]]-Table2[[#This Row],[Total Cost After Product Percentage Calc]]</f>
        <v>3353</v>
      </c>
    </row>
    <row r="529" spans="1:18" ht="14.25" customHeight="1" x14ac:dyDescent="0.3">
      <c r="A529" s="1">
        <v>528</v>
      </c>
      <c r="B529" s="1" t="s">
        <v>101</v>
      </c>
      <c r="C529" s="1" t="s">
        <v>34</v>
      </c>
      <c r="D529" s="1" t="s">
        <v>54</v>
      </c>
      <c r="E529" s="2">
        <v>45706</v>
      </c>
      <c r="F529" s="4">
        <v>45712</v>
      </c>
      <c r="G529" s="1">
        <v>8</v>
      </c>
      <c r="H529" s="1">
        <v>745</v>
      </c>
      <c r="I529" s="1" t="s">
        <v>30</v>
      </c>
      <c r="J529" s="1" t="s">
        <v>36</v>
      </c>
      <c r="K529" s="1" t="s">
        <v>32</v>
      </c>
      <c r="L529" t="str">
        <f>TEXT(Table2[[#This Row],[Order Date]],"YYY")</f>
        <v>2025</v>
      </c>
      <c r="M529" t="str">
        <f>TEXT(Table2[[#This Row],[Order Date]],"MMM")</f>
        <v>Feb</v>
      </c>
      <c r="N529" t="str">
        <f>TEXT(Table2[[#This Row],[Order Date]],"DDD")</f>
        <v>Tue</v>
      </c>
      <c r="O529">
        <f>DATEDIF(Table2[[#This Row],[Order Date]],Table2[[#This Row],[Delivered Date]],"D")</f>
        <v>6</v>
      </c>
      <c r="P529" s="10">
        <f>ROUND(Table2[[#This Row],[Quantity]]*Table2[[#This Row],[Unit Price]]*VLOOKUP(Table2[[#This Row],[Product Name]],Table_1[#All],2,FALSE),0)</f>
        <v>4172</v>
      </c>
      <c r="Q529" s="10">
        <f>Table2[[#This Row],[Quantity]]*Table2[[#This Row],[Unit Price]]</f>
        <v>5960</v>
      </c>
      <c r="R529" s="10">
        <f>Table2[[#This Row],[Sales Revenue]]-Table2[[#This Row],[Total Cost After Product Percentage Calc]]</f>
        <v>1788</v>
      </c>
    </row>
    <row r="530" spans="1:18" ht="14.25" customHeight="1" x14ac:dyDescent="0.3">
      <c r="A530" s="1">
        <v>529</v>
      </c>
      <c r="B530" s="1" t="s">
        <v>102</v>
      </c>
      <c r="C530" s="1" t="s">
        <v>18</v>
      </c>
      <c r="D530" s="1" t="s">
        <v>60</v>
      </c>
      <c r="E530" s="2">
        <v>45904</v>
      </c>
      <c r="F530" s="4">
        <v>45910</v>
      </c>
      <c r="G530" s="1">
        <v>7</v>
      </c>
      <c r="H530" s="1">
        <v>238</v>
      </c>
      <c r="I530" s="1" t="s">
        <v>14</v>
      </c>
      <c r="J530" s="1" t="s">
        <v>31</v>
      </c>
      <c r="K530" s="1" t="s">
        <v>16</v>
      </c>
      <c r="L530" t="str">
        <f>TEXT(Table2[[#This Row],[Order Date]],"YYY")</f>
        <v>2025</v>
      </c>
      <c r="M530" t="str">
        <f>TEXT(Table2[[#This Row],[Order Date]],"MMM")</f>
        <v>Sep</v>
      </c>
      <c r="N530" t="str">
        <f>TEXT(Table2[[#This Row],[Order Date]],"DDD")</f>
        <v>Thu</v>
      </c>
      <c r="O530">
        <f>DATEDIF(Table2[[#This Row],[Order Date]],Table2[[#This Row],[Delivered Date]],"D")</f>
        <v>6</v>
      </c>
      <c r="P530" s="10">
        <f>ROUND(Table2[[#This Row],[Quantity]]*Table2[[#This Row],[Unit Price]]*VLOOKUP(Table2[[#This Row],[Product Name]],Table_1[#All],2,FALSE),0)</f>
        <v>916</v>
      </c>
      <c r="Q530" s="10">
        <f>Table2[[#This Row],[Quantity]]*Table2[[#This Row],[Unit Price]]</f>
        <v>1666</v>
      </c>
      <c r="R530" s="10">
        <f>Table2[[#This Row],[Sales Revenue]]-Table2[[#This Row],[Total Cost After Product Percentage Calc]]</f>
        <v>750</v>
      </c>
    </row>
    <row r="531" spans="1:18" ht="14.25" customHeight="1" x14ac:dyDescent="0.3">
      <c r="A531" s="1">
        <v>530</v>
      </c>
      <c r="B531" s="1" t="s">
        <v>103</v>
      </c>
      <c r="C531" s="1" t="s">
        <v>12</v>
      </c>
      <c r="D531" s="1" t="s">
        <v>13</v>
      </c>
      <c r="E531" s="2">
        <v>46003</v>
      </c>
      <c r="F531" s="4">
        <v>46013</v>
      </c>
      <c r="G531" s="1">
        <v>1</v>
      </c>
      <c r="H531" s="1">
        <v>159</v>
      </c>
      <c r="I531" s="1" t="s">
        <v>14</v>
      </c>
      <c r="J531" s="1" t="s">
        <v>31</v>
      </c>
      <c r="K531" s="1" t="s">
        <v>16</v>
      </c>
      <c r="L531" t="str">
        <f>TEXT(Table2[[#This Row],[Order Date]],"YYY")</f>
        <v>2025</v>
      </c>
      <c r="M531" t="str">
        <f>TEXT(Table2[[#This Row],[Order Date]],"MMM")</f>
        <v>Dec</v>
      </c>
      <c r="N531" t="str">
        <f>TEXT(Table2[[#This Row],[Order Date]],"DDD")</f>
        <v>Fri</v>
      </c>
      <c r="O531">
        <f>DATEDIF(Table2[[#This Row],[Order Date]],Table2[[#This Row],[Delivered Date]],"D")</f>
        <v>10</v>
      </c>
      <c r="P531" s="10">
        <f>ROUND(Table2[[#This Row],[Quantity]]*Table2[[#This Row],[Unit Price]]*VLOOKUP(Table2[[#This Row],[Product Name]],Table_1[#All],2,FALSE),0)</f>
        <v>119</v>
      </c>
      <c r="Q531" s="10">
        <f>Table2[[#This Row],[Quantity]]*Table2[[#This Row],[Unit Price]]</f>
        <v>159</v>
      </c>
      <c r="R531" s="10">
        <f>Table2[[#This Row],[Sales Revenue]]-Table2[[#This Row],[Total Cost After Product Percentage Calc]]</f>
        <v>40</v>
      </c>
    </row>
    <row r="532" spans="1:18" ht="14.25" customHeight="1" x14ac:dyDescent="0.3">
      <c r="A532" s="1">
        <v>531</v>
      </c>
      <c r="B532" s="1" t="s">
        <v>105</v>
      </c>
      <c r="C532" s="1" t="s">
        <v>26</v>
      </c>
      <c r="D532" s="1" t="s">
        <v>74</v>
      </c>
      <c r="E532" s="2">
        <v>45793</v>
      </c>
      <c r="F532" s="4">
        <v>45797</v>
      </c>
      <c r="G532" s="1">
        <v>10</v>
      </c>
      <c r="H532" s="1">
        <v>102</v>
      </c>
      <c r="I532" s="1" t="s">
        <v>30</v>
      </c>
      <c r="J532" s="1" t="s">
        <v>31</v>
      </c>
      <c r="K532" s="1" t="s">
        <v>32</v>
      </c>
      <c r="L532" t="str">
        <f>TEXT(Table2[[#This Row],[Order Date]],"YYY")</f>
        <v>2025</v>
      </c>
      <c r="M532" t="str">
        <f>TEXT(Table2[[#This Row],[Order Date]],"MMM")</f>
        <v>May</v>
      </c>
      <c r="N532" t="str">
        <f>TEXT(Table2[[#This Row],[Order Date]],"DDD")</f>
        <v>Fri</v>
      </c>
      <c r="O532">
        <f>DATEDIF(Table2[[#This Row],[Order Date]],Table2[[#This Row],[Delivered Date]],"D")</f>
        <v>4</v>
      </c>
      <c r="P532" s="10">
        <f>ROUND(Table2[[#This Row],[Quantity]]*Table2[[#This Row],[Unit Price]]*VLOOKUP(Table2[[#This Row],[Product Name]],Table_1[#All],2,FALSE),0)</f>
        <v>561</v>
      </c>
      <c r="Q532" s="10">
        <f>Table2[[#This Row],[Quantity]]*Table2[[#This Row],[Unit Price]]</f>
        <v>1020</v>
      </c>
      <c r="R532" s="10">
        <f>Table2[[#This Row],[Sales Revenue]]-Table2[[#This Row],[Total Cost After Product Percentage Calc]]</f>
        <v>459</v>
      </c>
    </row>
    <row r="533" spans="1:18" ht="14.25" customHeight="1" x14ac:dyDescent="0.3">
      <c r="A533" s="1">
        <v>532</v>
      </c>
      <c r="B533" s="1" t="s">
        <v>106</v>
      </c>
      <c r="C533" s="1" t="s">
        <v>26</v>
      </c>
      <c r="D533" s="1" t="s">
        <v>27</v>
      </c>
      <c r="E533" s="2">
        <v>45997</v>
      </c>
      <c r="F533" s="4">
        <v>45998</v>
      </c>
      <c r="G533" s="1">
        <v>2</v>
      </c>
      <c r="H533" s="1">
        <v>443</v>
      </c>
      <c r="I533" s="1" t="s">
        <v>14</v>
      </c>
      <c r="J533" s="1" t="s">
        <v>52</v>
      </c>
      <c r="K533" s="1" t="s">
        <v>49</v>
      </c>
      <c r="L533" t="str">
        <f>TEXT(Table2[[#This Row],[Order Date]],"YYY")</f>
        <v>2025</v>
      </c>
      <c r="M533" t="str">
        <f>TEXT(Table2[[#This Row],[Order Date]],"MMM")</f>
        <v>Dec</v>
      </c>
      <c r="N533" t="str">
        <f>TEXT(Table2[[#This Row],[Order Date]],"DDD")</f>
        <v>Sat</v>
      </c>
      <c r="O533">
        <f>DATEDIF(Table2[[#This Row],[Order Date]],Table2[[#This Row],[Delivered Date]],"D")</f>
        <v>1</v>
      </c>
      <c r="P533" s="10">
        <f>ROUND(Table2[[#This Row],[Quantity]]*Table2[[#This Row],[Unit Price]]*VLOOKUP(Table2[[#This Row],[Product Name]],Table_1[#All],2,FALSE),0)</f>
        <v>487</v>
      </c>
      <c r="Q533" s="10">
        <f>Table2[[#This Row],[Quantity]]*Table2[[#This Row],[Unit Price]]</f>
        <v>886</v>
      </c>
      <c r="R533" s="10">
        <f>Table2[[#This Row],[Sales Revenue]]-Table2[[#This Row],[Total Cost After Product Percentage Calc]]</f>
        <v>399</v>
      </c>
    </row>
    <row r="534" spans="1:18" ht="14.25" customHeight="1" x14ac:dyDescent="0.3">
      <c r="A534" s="1">
        <v>533</v>
      </c>
      <c r="B534" s="1" t="s">
        <v>107</v>
      </c>
      <c r="C534" s="1" t="s">
        <v>26</v>
      </c>
      <c r="D534" s="1" t="s">
        <v>41</v>
      </c>
      <c r="E534" s="2">
        <v>45711</v>
      </c>
      <c r="F534" s="4">
        <v>45714</v>
      </c>
      <c r="G534" s="1">
        <v>9</v>
      </c>
      <c r="H534" s="1">
        <v>10</v>
      </c>
      <c r="I534" s="1" t="s">
        <v>14</v>
      </c>
      <c r="J534" s="1" t="s">
        <v>15</v>
      </c>
      <c r="K534" s="1" t="s">
        <v>49</v>
      </c>
      <c r="L534" t="str">
        <f>TEXT(Table2[[#This Row],[Order Date]],"YYY")</f>
        <v>2025</v>
      </c>
      <c r="M534" t="str">
        <f>TEXT(Table2[[#This Row],[Order Date]],"MMM")</f>
        <v>Feb</v>
      </c>
      <c r="N534" t="str">
        <f>TEXT(Table2[[#This Row],[Order Date]],"DDD")</f>
        <v>Sun</v>
      </c>
      <c r="O534">
        <f>DATEDIF(Table2[[#This Row],[Order Date]],Table2[[#This Row],[Delivered Date]],"D")</f>
        <v>3</v>
      </c>
      <c r="P534" s="10">
        <f>ROUND(Table2[[#This Row],[Quantity]]*Table2[[#This Row],[Unit Price]]*VLOOKUP(Table2[[#This Row],[Product Name]],Table_1[#All],2,FALSE),0)</f>
        <v>45</v>
      </c>
      <c r="Q534" s="10">
        <f>Table2[[#This Row],[Quantity]]*Table2[[#This Row],[Unit Price]]</f>
        <v>90</v>
      </c>
      <c r="R534" s="10">
        <f>Table2[[#This Row],[Sales Revenue]]-Table2[[#This Row],[Total Cost After Product Percentage Calc]]</f>
        <v>45</v>
      </c>
    </row>
    <row r="535" spans="1:18" ht="14.25" customHeight="1" x14ac:dyDescent="0.3">
      <c r="A535" s="1">
        <v>534</v>
      </c>
      <c r="B535" s="1" t="s">
        <v>108</v>
      </c>
      <c r="C535" s="1" t="s">
        <v>34</v>
      </c>
      <c r="D535" s="1" t="s">
        <v>35</v>
      </c>
      <c r="E535" s="2">
        <v>45942</v>
      </c>
      <c r="F535" s="4">
        <v>45955</v>
      </c>
      <c r="G535" s="1">
        <v>5</v>
      </c>
      <c r="H535" s="1">
        <v>758</v>
      </c>
      <c r="I535" s="1" t="s">
        <v>30</v>
      </c>
      <c r="J535" s="1" t="s">
        <v>15</v>
      </c>
      <c r="K535" s="1" t="s">
        <v>20</v>
      </c>
      <c r="L535" t="str">
        <f>TEXT(Table2[[#This Row],[Order Date]],"YYY")</f>
        <v>2025</v>
      </c>
      <c r="M535" t="str">
        <f>TEXT(Table2[[#This Row],[Order Date]],"MMM")</f>
        <v>Oct</v>
      </c>
      <c r="N535" t="str">
        <f>TEXT(Table2[[#This Row],[Order Date]],"DDD")</f>
        <v>Sun</v>
      </c>
      <c r="O535">
        <f>DATEDIF(Table2[[#This Row],[Order Date]],Table2[[#This Row],[Delivered Date]],"D")</f>
        <v>13</v>
      </c>
      <c r="P535" s="10">
        <f>ROUND(Table2[[#This Row],[Quantity]]*Table2[[#This Row],[Unit Price]]*VLOOKUP(Table2[[#This Row],[Product Name]],Table_1[#All],2,FALSE),0)</f>
        <v>2843</v>
      </c>
      <c r="Q535" s="10">
        <f>Table2[[#This Row],[Quantity]]*Table2[[#This Row],[Unit Price]]</f>
        <v>3790</v>
      </c>
      <c r="R535" s="10">
        <f>Table2[[#This Row],[Sales Revenue]]-Table2[[#This Row],[Total Cost After Product Percentage Calc]]</f>
        <v>947</v>
      </c>
    </row>
    <row r="536" spans="1:18" ht="14.25" customHeight="1" x14ac:dyDescent="0.3">
      <c r="A536" s="1">
        <v>535</v>
      </c>
      <c r="B536" s="1" t="s">
        <v>109</v>
      </c>
      <c r="C536" s="1" t="s">
        <v>12</v>
      </c>
      <c r="D536" s="1" t="s">
        <v>13</v>
      </c>
      <c r="E536" s="2">
        <v>45896</v>
      </c>
      <c r="F536" s="4">
        <v>45897</v>
      </c>
      <c r="G536" s="1">
        <v>10</v>
      </c>
      <c r="H536" s="1">
        <v>541</v>
      </c>
      <c r="I536" s="1" t="s">
        <v>14</v>
      </c>
      <c r="J536" s="1" t="s">
        <v>24</v>
      </c>
      <c r="K536" s="1" t="s">
        <v>16</v>
      </c>
      <c r="L536" t="str">
        <f>TEXT(Table2[[#This Row],[Order Date]],"YYY")</f>
        <v>2025</v>
      </c>
      <c r="M536" t="str">
        <f>TEXT(Table2[[#This Row],[Order Date]],"MMM")</f>
        <v>Aug</v>
      </c>
      <c r="N536" t="str">
        <f>TEXT(Table2[[#This Row],[Order Date]],"DDD")</f>
        <v>Wed</v>
      </c>
      <c r="O536">
        <f>DATEDIF(Table2[[#This Row],[Order Date]],Table2[[#This Row],[Delivered Date]],"D")</f>
        <v>1</v>
      </c>
      <c r="P536" s="10">
        <f>ROUND(Table2[[#This Row],[Quantity]]*Table2[[#This Row],[Unit Price]]*VLOOKUP(Table2[[#This Row],[Product Name]],Table_1[#All],2,FALSE),0)</f>
        <v>4058</v>
      </c>
      <c r="Q536" s="10">
        <f>Table2[[#This Row],[Quantity]]*Table2[[#This Row],[Unit Price]]</f>
        <v>5410</v>
      </c>
      <c r="R536" s="10">
        <f>Table2[[#This Row],[Sales Revenue]]-Table2[[#This Row],[Total Cost After Product Percentage Calc]]</f>
        <v>1352</v>
      </c>
    </row>
    <row r="537" spans="1:18" ht="14.25" customHeight="1" x14ac:dyDescent="0.3">
      <c r="A537" s="1">
        <v>536</v>
      </c>
      <c r="B537" s="1" t="s">
        <v>110</v>
      </c>
      <c r="C537" s="1" t="s">
        <v>34</v>
      </c>
      <c r="D537" s="1" t="s">
        <v>54</v>
      </c>
      <c r="E537" s="2">
        <v>45890</v>
      </c>
      <c r="F537" s="4">
        <v>45891</v>
      </c>
      <c r="G537" s="1">
        <v>1</v>
      </c>
      <c r="H537" s="1">
        <v>46</v>
      </c>
      <c r="I537" s="1" t="s">
        <v>14</v>
      </c>
      <c r="J537" s="1" t="s">
        <v>24</v>
      </c>
      <c r="K537" s="1" t="s">
        <v>32</v>
      </c>
      <c r="L537" t="str">
        <f>TEXT(Table2[[#This Row],[Order Date]],"YYY")</f>
        <v>2025</v>
      </c>
      <c r="M537" t="str">
        <f>TEXT(Table2[[#This Row],[Order Date]],"MMM")</f>
        <v>Aug</v>
      </c>
      <c r="N537" t="str">
        <f>TEXT(Table2[[#This Row],[Order Date]],"DDD")</f>
        <v>Thu</v>
      </c>
      <c r="O537">
        <f>DATEDIF(Table2[[#This Row],[Order Date]],Table2[[#This Row],[Delivered Date]],"D")</f>
        <v>1</v>
      </c>
      <c r="P537" s="10">
        <f>ROUND(Table2[[#This Row],[Quantity]]*Table2[[#This Row],[Unit Price]]*VLOOKUP(Table2[[#This Row],[Product Name]],Table_1[#All],2,FALSE),0)</f>
        <v>32</v>
      </c>
      <c r="Q537" s="10">
        <f>Table2[[#This Row],[Quantity]]*Table2[[#This Row],[Unit Price]]</f>
        <v>46</v>
      </c>
      <c r="R537" s="10">
        <f>Table2[[#This Row],[Sales Revenue]]-Table2[[#This Row],[Total Cost After Product Percentage Calc]]</f>
        <v>14</v>
      </c>
    </row>
    <row r="538" spans="1:18" ht="14.25" customHeight="1" x14ac:dyDescent="0.3">
      <c r="A538" s="1">
        <v>537</v>
      </c>
      <c r="B538" s="1" t="s">
        <v>111</v>
      </c>
      <c r="C538" s="1" t="s">
        <v>34</v>
      </c>
      <c r="D538" s="1" t="s">
        <v>45</v>
      </c>
      <c r="E538" s="2">
        <v>45857</v>
      </c>
      <c r="F538" s="4">
        <v>45863</v>
      </c>
      <c r="G538" s="1">
        <v>4</v>
      </c>
      <c r="H538" s="1">
        <v>82</v>
      </c>
      <c r="I538" s="1" t="s">
        <v>30</v>
      </c>
      <c r="J538" s="1" t="s">
        <v>31</v>
      </c>
      <c r="K538" s="1" t="s">
        <v>16</v>
      </c>
      <c r="L538" t="str">
        <f>TEXT(Table2[[#This Row],[Order Date]],"YYY")</f>
        <v>2025</v>
      </c>
      <c r="M538" t="str">
        <f>TEXT(Table2[[#This Row],[Order Date]],"MMM")</f>
        <v>Jul</v>
      </c>
      <c r="N538" t="str">
        <f>TEXT(Table2[[#This Row],[Order Date]],"DDD")</f>
        <v>Sat</v>
      </c>
      <c r="O538">
        <f>DATEDIF(Table2[[#This Row],[Order Date]],Table2[[#This Row],[Delivered Date]],"D")</f>
        <v>6</v>
      </c>
      <c r="P538" s="10">
        <f>ROUND(Table2[[#This Row],[Quantity]]*Table2[[#This Row],[Unit Price]]*VLOOKUP(Table2[[#This Row],[Product Name]],Table_1[#All],2,FALSE),0)</f>
        <v>213</v>
      </c>
      <c r="Q538" s="10">
        <f>Table2[[#This Row],[Quantity]]*Table2[[#This Row],[Unit Price]]</f>
        <v>328</v>
      </c>
      <c r="R538" s="10">
        <f>Table2[[#This Row],[Sales Revenue]]-Table2[[#This Row],[Total Cost After Product Percentage Calc]]</f>
        <v>115</v>
      </c>
    </row>
    <row r="539" spans="1:18" ht="14.25" customHeight="1" x14ac:dyDescent="0.3">
      <c r="A539" s="1">
        <v>538</v>
      </c>
      <c r="B539" s="1" t="s">
        <v>537</v>
      </c>
      <c r="C539" s="1" t="s">
        <v>26</v>
      </c>
      <c r="D539" s="1" t="s">
        <v>27</v>
      </c>
      <c r="E539" s="2">
        <v>46008</v>
      </c>
      <c r="F539" s="4">
        <v>46014</v>
      </c>
      <c r="G539" s="1">
        <v>9</v>
      </c>
      <c r="H539" s="1">
        <v>891</v>
      </c>
      <c r="I539" s="1" t="s">
        <v>30</v>
      </c>
      <c r="J539" s="1" t="s">
        <v>31</v>
      </c>
      <c r="K539" s="1" t="s">
        <v>32</v>
      </c>
      <c r="L539" t="str">
        <f>TEXT(Table2[[#This Row],[Order Date]],"YYY")</f>
        <v>2025</v>
      </c>
      <c r="M539" t="str">
        <f>TEXT(Table2[[#This Row],[Order Date]],"MMM")</f>
        <v>Dec</v>
      </c>
      <c r="N539" t="str">
        <f>TEXT(Table2[[#This Row],[Order Date]],"DDD")</f>
        <v>Wed</v>
      </c>
      <c r="O539">
        <f>DATEDIF(Table2[[#This Row],[Order Date]],Table2[[#This Row],[Delivered Date]],"D")</f>
        <v>6</v>
      </c>
      <c r="P539" s="10">
        <f>ROUND(Table2[[#This Row],[Quantity]]*Table2[[#This Row],[Unit Price]]*VLOOKUP(Table2[[#This Row],[Product Name]],Table_1[#All],2,FALSE),0)</f>
        <v>4410</v>
      </c>
      <c r="Q539" s="10">
        <f>Table2[[#This Row],[Quantity]]*Table2[[#This Row],[Unit Price]]</f>
        <v>8019</v>
      </c>
      <c r="R539" s="10">
        <f>Table2[[#This Row],[Sales Revenue]]-Table2[[#This Row],[Total Cost After Product Percentage Calc]]</f>
        <v>3609</v>
      </c>
    </row>
    <row r="540" spans="1:18" ht="14.25" customHeight="1" x14ac:dyDescent="0.3">
      <c r="A540" s="1">
        <v>539</v>
      </c>
      <c r="B540" s="1" t="s">
        <v>538</v>
      </c>
      <c r="C540" s="1" t="s">
        <v>18</v>
      </c>
      <c r="D540" s="1" t="s">
        <v>68</v>
      </c>
      <c r="E540" s="2">
        <v>45779</v>
      </c>
      <c r="F540" s="4">
        <v>45781</v>
      </c>
      <c r="G540" s="1">
        <v>4</v>
      </c>
      <c r="H540" s="1">
        <v>578</v>
      </c>
      <c r="I540" s="1" t="s">
        <v>14</v>
      </c>
      <c r="J540" s="1" t="s">
        <v>15</v>
      </c>
      <c r="K540" s="1" t="s">
        <v>49</v>
      </c>
      <c r="L540" t="str">
        <f>TEXT(Table2[[#This Row],[Order Date]],"YYY")</f>
        <v>2025</v>
      </c>
      <c r="M540" t="str">
        <f>TEXT(Table2[[#This Row],[Order Date]],"MMM")</f>
        <v>May</v>
      </c>
      <c r="N540" t="str">
        <f>TEXT(Table2[[#This Row],[Order Date]],"DDD")</f>
        <v>Fri</v>
      </c>
      <c r="O540">
        <f>DATEDIF(Table2[[#This Row],[Order Date]],Table2[[#This Row],[Delivered Date]],"D")</f>
        <v>2</v>
      </c>
      <c r="P540" s="10">
        <f>ROUND(Table2[[#This Row],[Quantity]]*Table2[[#This Row],[Unit Price]]*VLOOKUP(Table2[[#This Row],[Product Name]],Table_1[#All],2,FALSE),0)</f>
        <v>1156</v>
      </c>
      <c r="Q540" s="10">
        <f>Table2[[#This Row],[Quantity]]*Table2[[#This Row],[Unit Price]]</f>
        <v>2312</v>
      </c>
      <c r="R540" s="10">
        <f>Table2[[#This Row],[Sales Revenue]]-Table2[[#This Row],[Total Cost After Product Percentage Calc]]</f>
        <v>1156</v>
      </c>
    </row>
    <row r="541" spans="1:18" ht="14.25" customHeight="1" x14ac:dyDescent="0.3">
      <c r="A541" s="1">
        <v>540</v>
      </c>
      <c r="B541" s="1" t="s">
        <v>539</v>
      </c>
      <c r="C541" s="1" t="s">
        <v>12</v>
      </c>
      <c r="D541" s="1" t="s">
        <v>39</v>
      </c>
      <c r="E541" s="2">
        <v>45763</v>
      </c>
      <c r="F541" s="4">
        <v>45767</v>
      </c>
      <c r="G541" s="1">
        <v>4</v>
      </c>
      <c r="H541" s="1">
        <v>152</v>
      </c>
      <c r="I541" s="1" t="s">
        <v>30</v>
      </c>
      <c r="J541" s="1" t="s">
        <v>31</v>
      </c>
      <c r="K541" s="1" t="s">
        <v>49</v>
      </c>
      <c r="L541" t="str">
        <f>TEXT(Table2[[#This Row],[Order Date]],"YYY")</f>
        <v>2025</v>
      </c>
      <c r="M541" t="str">
        <f>TEXT(Table2[[#This Row],[Order Date]],"MMM")</f>
        <v>Apr</v>
      </c>
      <c r="N541" t="str">
        <f>TEXT(Table2[[#This Row],[Order Date]],"DDD")</f>
        <v>Wed</v>
      </c>
      <c r="O541">
        <f>DATEDIF(Table2[[#This Row],[Order Date]],Table2[[#This Row],[Delivered Date]],"D")</f>
        <v>4</v>
      </c>
      <c r="P541" s="10">
        <f>ROUND(Table2[[#This Row],[Quantity]]*Table2[[#This Row],[Unit Price]]*VLOOKUP(Table2[[#This Row],[Product Name]],Table_1[#All],2,FALSE),0)</f>
        <v>486</v>
      </c>
      <c r="Q541" s="10">
        <f>Table2[[#This Row],[Quantity]]*Table2[[#This Row],[Unit Price]]</f>
        <v>608</v>
      </c>
      <c r="R541" s="10">
        <f>Table2[[#This Row],[Sales Revenue]]-Table2[[#This Row],[Total Cost After Product Percentage Calc]]</f>
        <v>122</v>
      </c>
    </row>
    <row r="542" spans="1:18" ht="14.25" customHeight="1" x14ac:dyDescent="0.3">
      <c r="A542" s="1">
        <v>541</v>
      </c>
      <c r="B542" s="1" t="s">
        <v>540</v>
      </c>
      <c r="C542" s="1" t="s">
        <v>22</v>
      </c>
      <c r="D542" s="1" t="s">
        <v>58</v>
      </c>
      <c r="E542" s="2">
        <v>45698</v>
      </c>
      <c r="F542" s="4">
        <v>45699</v>
      </c>
      <c r="G542" s="1">
        <v>3</v>
      </c>
      <c r="H542" s="1">
        <v>288</v>
      </c>
      <c r="I542" s="1" t="s">
        <v>14</v>
      </c>
      <c r="J542" s="1" t="s">
        <v>15</v>
      </c>
      <c r="K542" s="1" t="s">
        <v>49</v>
      </c>
      <c r="L542" t="str">
        <f>TEXT(Table2[[#This Row],[Order Date]],"YYY")</f>
        <v>2025</v>
      </c>
      <c r="M542" t="str">
        <f>TEXT(Table2[[#This Row],[Order Date]],"MMM")</f>
        <v>Feb</v>
      </c>
      <c r="N542" t="str">
        <f>TEXT(Table2[[#This Row],[Order Date]],"DDD")</f>
        <v>Mon</v>
      </c>
      <c r="O542">
        <f>DATEDIF(Table2[[#This Row],[Order Date]],Table2[[#This Row],[Delivered Date]],"D")</f>
        <v>1</v>
      </c>
      <c r="P542" s="10">
        <f>ROUND(Table2[[#This Row],[Quantity]]*Table2[[#This Row],[Unit Price]]*VLOOKUP(Table2[[#This Row],[Product Name]],Table_1[#All],2,FALSE),0)</f>
        <v>605</v>
      </c>
      <c r="Q542" s="10">
        <f>Table2[[#This Row],[Quantity]]*Table2[[#This Row],[Unit Price]]</f>
        <v>864</v>
      </c>
      <c r="R542" s="10">
        <f>Table2[[#This Row],[Sales Revenue]]-Table2[[#This Row],[Total Cost After Product Percentage Calc]]</f>
        <v>259</v>
      </c>
    </row>
    <row r="543" spans="1:18" ht="14.25" customHeight="1" x14ac:dyDescent="0.3">
      <c r="A543" s="1">
        <v>542</v>
      </c>
      <c r="B543" s="1" t="s">
        <v>541</v>
      </c>
      <c r="C543" s="1" t="s">
        <v>26</v>
      </c>
      <c r="D543" s="1" t="s">
        <v>27</v>
      </c>
      <c r="E543" s="2">
        <v>45986</v>
      </c>
      <c r="F543" s="4">
        <v>45994</v>
      </c>
      <c r="G543" s="1">
        <v>1</v>
      </c>
      <c r="H543" s="1">
        <v>321</v>
      </c>
      <c r="I543" s="1" t="s">
        <v>14</v>
      </c>
      <c r="J543" s="1" t="s">
        <v>24</v>
      </c>
      <c r="K543" s="1" t="s">
        <v>16</v>
      </c>
      <c r="L543" t="str">
        <f>TEXT(Table2[[#This Row],[Order Date]],"YYY")</f>
        <v>2025</v>
      </c>
      <c r="M543" t="str">
        <f>TEXT(Table2[[#This Row],[Order Date]],"MMM")</f>
        <v>Nov</v>
      </c>
      <c r="N543" t="str">
        <f>TEXT(Table2[[#This Row],[Order Date]],"DDD")</f>
        <v>Tue</v>
      </c>
      <c r="O543">
        <f>DATEDIF(Table2[[#This Row],[Order Date]],Table2[[#This Row],[Delivered Date]],"D")</f>
        <v>8</v>
      </c>
      <c r="P543" s="10">
        <f>ROUND(Table2[[#This Row],[Quantity]]*Table2[[#This Row],[Unit Price]]*VLOOKUP(Table2[[#This Row],[Product Name]],Table_1[#All],2,FALSE),0)</f>
        <v>177</v>
      </c>
      <c r="Q543" s="10">
        <f>Table2[[#This Row],[Quantity]]*Table2[[#This Row],[Unit Price]]</f>
        <v>321</v>
      </c>
      <c r="R543" s="10">
        <f>Table2[[#This Row],[Sales Revenue]]-Table2[[#This Row],[Total Cost After Product Percentage Calc]]</f>
        <v>144</v>
      </c>
    </row>
    <row r="544" spans="1:18" ht="14.25" customHeight="1" x14ac:dyDescent="0.3">
      <c r="A544" s="1">
        <v>543</v>
      </c>
      <c r="B544" s="1" t="s">
        <v>542</v>
      </c>
      <c r="C544" s="1" t="s">
        <v>34</v>
      </c>
      <c r="D544" s="1" t="s">
        <v>54</v>
      </c>
      <c r="E544" s="2">
        <v>45749</v>
      </c>
      <c r="F544" s="4">
        <v>45759</v>
      </c>
      <c r="G544" s="1">
        <v>7</v>
      </c>
      <c r="H544" s="1">
        <v>356</v>
      </c>
      <c r="I544" s="1" t="s">
        <v>14</v>
      </c>
      <c r="J544" s="1" t="s">
        <v>24</v>
      </c>
      <c r="K544" s="1" t="s">
        <v>20</v>
      </c>
      <c r="L544" t="str">
        <f>TEXT(Table2[[#This Row],[Order Date]],"YYY")</f>
        <v>2025</v>
      </c>
      <c r="M544" t="str">
        <f>TEXT(Table2[[#This Row],[Order Date]],"MMM")</f>
        <v>Apr</v>
      </c>
      <c r="N544" t="str">
        <f>TEXT(Table2[[#This Row],[Order Date]],"DDD")</f>
        <v>Wed</v>
      </c>
      <c r="O544">
        <f>DATEDIF(Table2[[#This Row],[Order Date]],Table2[[#This Row],[Delivered Date]],"D")</f>
        <v>10</v>
      </c>
      <c r="P544" s="10">
        <f>ROUND(Table2[[#This Row],[Quantity]]*Table2[[#This Row],[Unit Price]]*VLOOKUP(Table2[[#This Row],[Product Name]],Table_1[#All],2,FALSE),0)</f>
        <v>1744</v>
      </c>
      <c r="Q544" s="10">
        <f>Table2[[#This Row],[Quantity]]*Table2[[#This Row],[Unit Price]]</f>
        <v>2492</v>
      </c>
      <c r="R544" s="10">
        <f>Table2[[#This Row],[Sales Revenue]]-Table2[[#This Row],[Total Cost After Product Percentage Calc]]</f>
        <v>748</v>
      </c>
    </row>
    <row r="545" spans="1:18" ht="14.25" customHeight="1" x14ac:dyDescent="0.3">
      <c r="A545" s="1">
        <v>544</v>
      </c>
      <c r="B545" s="1" t="s">
        <v>543</v>
      </c>
      <c r="C545" s="1" t="s">
        <v>12</v>
      </c>
      <c r="D545" s="1" t="s">
        <v>39</v>
      </c>
      <c r="E545" s="2">
        <v>45726</v>
      </c>
      <c r="F545" s="4">
        <v>45737</v>
      </c>
      <c r="G545" s="1">
        <v>2</v>
      </c>
      <c r="H545" s="1">
        <v>944</v>
      </c>
      <c r="I545" s="1" t="s">
        <v>30</v>
      </c>
      <c r="J545" s="1" t="s">
        <v>31</v>
      </c>
      <c r="K545" s="1" t="s">
        <v>20</v>
      </c>
      <c r="L545" t="str">
        <f>TEXT(Table2[[#This Row],[Order Date]],"YYY")</f>
        <v>2025</v>
      </c>
      <c r="M545" t="str">
        <f>TEXT(Table2[[#This Row],[Order Date]],"MMM")</f>
        <v>Mar</v>
      </c>
      <c r="N545" t="str">
        <f>TEXT(Table2[[#This Row],[Order Date]],"DDD")</f>
        <v>Mon</v>
      </c>
      <c r="O545">
        <f>DATEDIF(Table2[[#This Row],[Order Date]],Table2[[#This Row],[Delivered Date]],"D")</f>
        <v>11</v>
      </c>
      <c r="P545" s="10">
        <f>ROUND(Table2[[#This Row],[Quantity]]*Table2[[#This Row],[Unit Price]]*VLOOKUP(Table2[[#This Row],[Product Name]],Table_1[#All],2,FALSE),0)</f>
        <v>1510</v>
      </c>
      <c r="Q545" s="10">
        <f>Table2[[#This Row],[Quantity]]*Table2[[#This Row],[Unit Price]]</f>
        <v>1888</v>
      </c>
      <c r="R545" s="10">
        <f>Table2[[#This Row],[Sales Revenue]]-Table2[[#This Row],[Total Cost After Product Percentage Calc]]</f>
        <v>378</v>
      </c>
    </row>
    <row r="546" spans="1:18" ht="14.25" customHeight="1" x14ac:dyDescent="0.3">
      <c r="A546" s="1">
        <v>545</v>
      </c>
      <c r="B546" s="1" t="s">
        <v>544</v>
      </c>
      <c r="C546" s="1" t="s">
        <v>34</v>
      </c>
      <c r="D546" s="1" t="s">
        <v>80</v>
      </c>
      <c r="E546" s="2">
        <v>46008</v>
      </c>
      <c r="F546" s="4">
        <v>46018</v>
      </c>
      <c r="G546" s="1">
        <v>10</v>
      </c>
      <c r="H546" s="1">
        <v>172</v>
      </c>
      <c r="I546" s="1" t="s">
        <v>14</v>
      </c>
      <c r="J546" s="1" t="s">
        <v>36</v>
      </c>
      <c r="K546" s="1" t="s">
        <v>20</v>
      </c>
      <c r="L546" t="str">
        <f>TEXT(Table2[[#This Row],[Order Date]],"YYY")</f>
        <v>2025</v>
      </c>
      <c r="M546" t="str">
        <f>TEXT(Table2[[#This Row],[Order Date]],"MMM")</f>
        <v>Dec</v>
      </c>
      <c r="N546" t="str">
        <f>TEXT(Table2[[#This Row],[Order Date]],"DDD")</f>
        <v>Wed</v>
      </c>
      <c r="O546">
        <f>DATEDIF(Table2[[#This Row],[Order Date]],Table2[[#This Row],[Delivered Date]],"D")</f>
        <v>10</v>
      </c>
      <c r="P546" s="10">
        <f>ROUND(Table2[[#This Row],[Quantity]]*Table2[[#This Row],[Unit Price]]*VLOOKUP(Table2[[#This Row],[Product Name]],Table_1[#All],2,FALSE),0)</f>
        <v>1290</v>
      </c>
      <c r="Q546" s="10">
        <f>Table2[[#This Row],[Quantity]]*Table2[[#This Row],[Unit Price]]</f>
        <v>1720</v>
      </c>
      <c r="R546" s="10">
        <f>Table2[[#This Row],[Sales Revenue]]-Table2[[#This Row],[Total Cost After Product Percentage Calc]]</f>
        <v>430</v>
      </c>
    </row>
    <row r="547" spans="1:18" ht="14.25" customHeight="1" x14ac:dyDescent="0.3">
      <c r="A547" s="1">
        <v>546</v>
      </c>
      <c r="B547" s="1" t="s">
        <v>545</v>
      </c>
      <c r="C547" s="1" t="s">
        <v>22</v>
      </c>
      <c r="D547" s="1" t="s">
        <v>23</v>
      </c>
      <c r="E547" s="2">
        <v>45883</v>
      </c>
      <c r="F547" s="4">
        <v>45885</v>
      </c>
      <c r="G547" s="1">
        <v>7</v>
      </c>
      <c r="H547" s="1">
        <v>70</v>
      </c>
      <c r="I547" s="1" t="s">
        <v>14</v>
      </c>
      <c r="J547" s="1" t="s">
        <v>52</v>
      </c>
      <c r="K547" s="1" t="s">
        <v>49</v>
      </c>
      <c r="L547" t="str">
        <f>TEXT(Table2[[#This Row],[Order Date]],"YYY")</f>
        <v>2025</v>
      </c>
      <c r="M547" t="str">
        <f>TEXT(Table2[[#This Row],[Order Date]],"MMM")</f>
        <v>Aug</v>
      </c>
      <c r="N547" t="str">
        <f>TEXT(Table2[[#This Row],[Order Date]],"DDD")</f>
        <v>Thu</v>
      </c>
      <c r="O547">
        <f>DATEDIF(Table2[[#This Row],[Order Date]],Table2[[#This Row],[Delivered Date]],"D")</f>
        <v>2</v>
      </c>
      <c r="P547" s="10">
        <f>ROUND(Table2[[#This Row],[Quantity]]*Table2[[#This Row],[Unit Price]]*VLOOKUP(Table2[[#This Row],[Product Name]],Table_1[#All],2,FALSE),0)</f>
        <v>368</v>
      </c>
      <c r="Q547" s="10">
        <f>Table2[[#This Row],[Quantity]]*Table2[[#This Row],[Unit Price]]</f>
        <v>490</v>
      </c>
      <c r="R547" s="10">
        <f>Table2[[#This Row],[Sales Revenue]]-Table2[[#This Row],[Total Cost After Product Percentage Calc]]</f>
        <v>122</v>
      </c>
    </row>
    <row r="548" spans="1:18" ht="14.25" customHeight="1" x14ac:dyDescent="0.3">
      <c r="A548" s="1">
        <v>547</v>
      </c>
      <c r="B548" s="1" t="s">
        <v>546</v>
      </c>
      <c r="C548" s="1" t="s">
        <v>12</v>
      </c>
      <c r="D548" s="1" t="s">
        <v>39</v>
      </c>
      <c r="E548" s="2">
        <v>45919</v>
      </c>
      <c r="F548" s="4">
        <v>45922</v>
      </c>
      <c r="G548" s="1">
        <v>2</v>
      </c>
      <c r="H548" s="1">
        <v>722</v>
      </c>
      <c r="I548" s="1" t="s">
        <v>14</v>
      </c>
      <c r="J548" s="1" t="s">
        <v>31</v>
      </c>
      <c r="K548" s="1" t="s">
        <v>49</v>
      </c>
      <c r="L548" t="str">
        <f>TEXT(Table2[[#This Row],[Order Date]],"YYY")</f>
        <v>2025</v>
      </c>
      <c r="M548" t="str">
        <f>TEXT(Table2[[#This Row],[Order Date]],"MMM")</f>
        <v>Sep</v>
      </c>
      <c r="N548" t="str">
        <f>TEXT(Table2[[#This Row],[Order Date]],"DDD")</f>
        <v>Fri</v>
      </c>
      <c r="O548">
        <f>DATEDIF(Table2[[#This Row],[Order Date]],Table2[[#This Row],[Delivered Date]],"D")</f>
        <v>3</v>
      </c>
      <c r="P548" s="10">
        <f>ROUND(Table2[[#This Row],[Quantity]]*Table2[[#This Row],[Unit Price]]*VLOOKUP(Table2[[#This Row],[Product Name]],Table_1[#All],2,FALSE),0)</f>
        <v>1155</v>
      </c>
      <c r="Q548" s="10">
        <f>Table2[[#This Row],[Quantity]]*Table2[[#This Row],[Unit Price]]</f>
        <v>1444</v>
      </c>
      <c r="R548" s="10">
        <f>Table2[[#This Row],[Sales Revenue]]-Table2[[#This Row],[Total Cost After Product Percentage Calc]]</f>
        <v>289</v>
      </c>
    </row>
    <row r="549" spans="1:18" ht="14.25" customHeight="1" x14ac:dyDescent="0.3">
      <c r="A549" s="1">
        <v>548</v>
      </c>
      <c r="B549" s="1" t="s">
        <v>547</v>
      </c>
      <c r="C549" s="1" t="s">
        <v>26</v>
      </c>
      <c r="D549" s="1" t="s">
        <v>74</v>
      </c>
      <c r="E549" s="2">
        <v>46002</v>
      </c>
      <c r="F549" s="4">
        <v>46010</v>
      </c>
      <c r="G549" s="1">
        <v>2</v>
      </c>
      <c r="H549" s="1">
        <v>876</v>
      </c>
      <c r="I549" s="1" t="s">
        <v>30</v>
      </c>
      <c r="J549" s="1" t="s">
        <v>52</v>
      </c>
      <c r="K549" s="1" t="s">
        <v>16</v>
      </c>
      <c r="L549" t="str">
        <f>TEXT(Table2[[#This Row],[Order Date]],"YYY")</f>
        <v>2025</v>
      </c>
      <c r="M549" t="str">
        <f>TEXT(Table2[[#This Row],[Order Date]],"MMM")</f>
        <v>Dec</v>
      </c>
      <c r="N549" t="str">
        <f>TEXT(Table2[[#This Row],[Order Date]],"DDD")</f>
        <v>Thu</v>
      </c>
      <c r="O549">
        <f>DATEDIF(Table2[[#This Row],[Order Date]],Table2[[#This Row],[Delivered Date]],"D")</f>
        <v>8</v>
      </c>
      <c r="P549" s="10">
        <f>ROUND(Table2[[#This Row],[Quantity]]*Table2[[#This Row],[Unit Price]]*VLOOKUP(Table2[[#This Row],[Product Name]],Table_1[#All],2,FALSE),0)</f>
        <v>964</v>
      </c>
      <c r="Q549" s="10">
        <f>Table2[[#This Row],[Quantity]]*Table2[[#This Row],[Unit Price]]</f>
        <v>1752</v>
      </c>
      <c r="R549" s="10">
        <f>Table2[[#This Row],[Sales Revenue]]-Table2[[#This Row],[Total Cost After Product Percentage Calc]]</f>
        <v>788</v>
      </c>
    </row>
    <row r="550" spans="1:18" ht="14.25" customHeight="1" x14ac:dyDescent="0.3">
      <c r="A550" s="1">
        <v>549</v>
      </c>
      <c r="B550" s="1" t="s">
        <v>111</v>
      </c>
      <c r="C550" s="1" t="s">
        <v>22</v>
      </c>
      <c r="D550" s="1" t="s">
        <v>23</v>
      </c>
      <c r="E550" s="2">
        <v>45787</v>
      </c>
      <c r="F550" s="4">
        <v>45794</v>
      </c>
      <c r="G550" s="1">
        <v>8</v>
      </c>
      <c r="H550" s="1">
        <v>281</v>
      </c>
      <c r="I550" s="1" t="s">
        <v>14</v>
      </c>
      <c r="J550" s="1" t="s">
        <v>36</v>
      </c>
      <c r="K550" s="1" t="s">
        <v>32</v>
      </c>
      <c r="L550" t="str">
        <f>TEXT(Table2[[#This Row],[Order Date]],"YYY")</f>
        <v>2025</v>
      </c>
      <c r="M550" t="str">
        <f>TEXT(Table2[[#This Row],[Order Date]],"MMM")</f>
        <v>May</v>
      </c>
      <c r="N550" t="str">
        <f>TEXT(Table2[[#This Row],[Order Date]],"DDD")</f>
        <v>Sat</v>
      </c>
      <c r="O550">
        <f>DATEDIF(Table2[[#This Row],[Order Date]],Table2[[#This Row],[Delivered Date]],"D")</f>
        <v>7</v>
      </c>
      <c r="P550" s="10">
        <f>ROUND(Table2[[#This Row],[Quantity]]*Table2[[#This Row],[Unit Price]]*VLOOKUP(Table2[[#This Row],[Product Name]],Table_1[#All],2,FALSE),0)</f>
        <v>1686</v>
      </c>
      <c r="Q550" s="10">
        <f>Table2[[#This Row],[Quantity]]*Table2[[#This Row],[Unit Price]]</f>
        <v>2248</v>
      </c>
      <c r="R550" s="10">
        <f>Table2[[#This Row],[Sales Revenue]]-Table2[[#This Row],[Total Cost After Product Percentage Calc]]</f>
        <v>562</v>
      </c>
    </row>
    <row r="551" spans="1:18" ht="14.25" customHeight="1" x14ac:dyDescent="0.3">
      <c r="A551" s="1">
        <v>550</v>
      </c>
      <c r="B551" s="1" t="s">
        <v>548</v>
      </c>
      <c r="C551" s="1" t="s">
        <v>12</v>
      </c>
      <c r="D551" s="1" t="s">
        <v>29</v>
      </c>
      <c r="E551" s="2">
        <v>45757</v>
      </c>
      <c r="F551" s="4">
        <v>45764</v>
      </c>
      <c r="G551" s="1">
        <v>7</v>
      </c>
      <c r="H551" s="1">
        <v>390</v>
      </c>
      <c r="I551" s="1" t="s">
        <v>30</v>
      </c>
      <c r="J551" s="1" t="s">
        <v>52</v>
      </c>
      <c r="K551" s="1" t="s">
        <v>49</v>
      </c>
      <c r="L551" t="str">
        <f>TEXT(Table2[[#This Row],[Order Date]],"YYY")</f>
        <v>2025</v>
      </c>
      <c r="M551" t="str">
        <f>TEXT(Table2[[#This Row],[Order Date]],"MMM")</f>
        <v>Apr</v>
      </c>
      <c r="N551" t="str">
        <f>TEXT(Table2[[#This Row],[Order Date]],"DDD")</f>
        <v>Thu</v>
      </c>
      <c r="O551">
        <f>DATEDIF(Table2[[#This Row],[Order Date]],Table2[[#This Row],[Delivered Date]],"D")</f>
        <v>7</v>
      </c>
      <c r="P551" s="10">
        <f>ROUND(Table2[[#This Row],[Quantity]]*Table2[[#This Row],[Unit Price]]*VLOOKUP(Table2[[#This Row],[Product Name]],Table_1[#All],2,FALSE),0)</f>
        <v>1775</v>
      </c>
      <c r="Q551" s="10">
        <f>Table2[[#This Row],[Quantity]]*Table2[[#This Row],[Unit Price]]</f>
        <v>2730</v>
      </c>
      <c r="R551" s="10">
        <f>Table2[[#This Row],[Sales Revenue]]-Table2[[#This Row],[Total Cost After Product Percentage Calc]]</f>
        <v>955</v>
      </c>
    </row>
    <row r="552" spans="1:18" ht="14.25" customHeight="1" x14ac:dyDescent="0.3">
      <c r="A552" s="1">
        <v>551</v>
      </c>
      <c r="B552" s="1" t="s">
        <v>549</v>
      </c>
      <c r="C552" s="1" t="s">
        <v>34</v>
      </c>
      <c r="D552" s="1" t="s">
        <v>80</v>
      </c>
      <c r="E552" s="2">
        <v>45934</v>
      </c>
      <c r="F552" s="4">
        <v>45940</v>
      </c>
      <c r="G552" s="1">
        <v>5</v>
      </c>
      <c r="H552" s="1">
        <v>953</v>
      </c>
      <c r="I552" s="1" t="s">
        <v>14</v>
      </c>
      <c r="J552" s="1" t="s">
        <v>24</v>
      </c>
      <c r="K552" s="1" t="s">
        <v>32</v>
      </c>
      <c r="L552" t="str">
        <f>TEXT(Table2[[#This Row],[Order Date]],"YYY")</f>
        <v>2025</v>
      </c>
      <c r="M552" t="str">
        <f>TEXT(Table2[[#This Row],[Order Date]],"MMM")</f>
        <v>Oct</v>
      </c>
      <c r="N552" t="str">
        <f>TEXT(Table2[[#This Row],[Order Date]],"DDD")</f>
        <v>Sat</v>
      </c>
      <c r="O552">
        <f>DATEDIF(Table2[[#This Row],[Order Date]],Table2[[#This Row],[Delivered Date]],"D")</f>
        <v>6</v>
      </c>
      <c r="P552" s="10">
        <f>ROUND(Table2[[#This Row],[Quantity]]*Table2[[#This Row],[Unit Price]]*VLOOKUP(Table2[[#This Row],[Product Name]],Table_1[#All],2,FALSE),0)</f>
        <v>3574</v>
      </c>
      <c r="Q552" s="10">
        <f>Table2[[#This Row],[Quantity]]*Table2[[#This Row],[Unit Price]]</f>
        <v>4765</v>
      </c>
      <c r="R552" s="10">
        <f>Table2[[#This Row],[Sales Revenue]]-Table2[[#This Row],[Total Cost After Product Percentage Calc]]</f>
        <v>1191</v>
      </c>
    </row>
    <row r="553" spans="1:18" ht="14.25" customHeight="1" x14ac:dyDescent="0.3">
      <c r="A553" s="1">
        <v>552</v>
      </c>
      <c r="B553" s="1" t="s">
        <v>550</v>
      </c>
      <c r="C553" s="1" t="s">
        <v>34</v>
      </c>
      <c r="D553" s="1" t="s">
        <v>45</v>
      </c>
      <c r="E553" s="2">
        <v>45666</v>
      </c>
      <c r="F553" s="4">
        <v>45678</v>
      </c>
      <c r="G553" s="1">
        <v>6</v>
      </c>
      <c r="H553" s="1">
        <v>323</v>
      </c>
      <c r="I553" s="1" t="s">
        <v>30</v>
      </c>
      <c r="J553" s="1" t="s">
        <v>52</v>
      </c>
      <c r="K553" s="1" t="s">
        <v>16</v>
      </c>
      <c r="L553" t="str">
        <f>TEXT(Table2[[#This Row],[Order Date]],"YYY")</f>
        <v>2025</v>
      </c>
      <c r="M553" t="str">
        <f>TEXT(Table2[[#This Row],[Order Date]],"MMM")</f>
        <v>Jan</v>
      </c>
      <c r="N553" t="str">
        <f>TEXT(Table2[[#This Row],[Order Date]],"DDD")</f>
        <v>Thu</v>
      </c>
      <c r="O553">
        <f>DATEDIF(Table2[[#This Row],[Order Date]],Table2[[#This Row],[Delivered Date]],"D")</f>
        <v>12</v>
      </c>
      <c r="P553" s="10">
        <f>ROUND(Table2[[#This Row],[Quantity]]*Table2[[#This Row],[Unit Price]]*VLOOKUP(Table2[[#This Row],[Product Name]],Table_1[#All],2,FALSE),0)</f>
        <v>1260</v>
      </c>
      <c r="Q553" s="10">
        <f>Table2[[#This Row],[Quantity]]*Table2[[#This Row],[Unit Price]]</f>
        <v>1938</v>
      </c>
      <c r="R553" s="10">
        <f>Table2[[#This Row],[Sales Revenue]]-Table2[[#This Row],[Total Cost After Product Percentage Calc]]</f>
        <v>678</v>
      </c>
    </row>
    <row r="554" spans="1:18" ht="14.25" customHeight="1" x14ac:dyDescent="0.3">
      <c r="A554" s="1">
        <v>553</v>
      </c>
      <c r="B554" s="1" t="s">
        <v>551</v>
      </c>
      <c r="C554" s="1" t="s">
        <v>34</v>
      </c>
      <c r="D554" s="1" t="s">
        <v>54</v>
      </c>
      <c r="E554" s="2">
        <v>45713</v>
      </c>
      <c r="F554" s="4">
        <v>45717</v>
      </c>
      <c r="G554" s="1">
        <v>3</v>
      </c>
      <c r="H554" s="1">
        <v>380</v>
      </c>
      <c r="I554" s="1" t="s">
        <v>14</v>
      </c>
      <c r="J554" s="1" t="s">
        <v>24</v>
      </c>
      <c r="K554" s="1" t="s">
        <v>49</v>
      </c>
      <c r="L554" t="str">
        <f>TEXT(Table2[[#This Row],[Order Date]],"YYY")</f>
        <v>2025</v>
      </c>
      <c r="M554" t="str">
        <f>TEXT(Table2[[#This Row],[Order Date]],"MMM")</f>
        <v>Feb</v>
      </c>
      <c r="N554" t="str">
        <f>TEXT(Table2[[#This Row],[Order Date]],"DDD")</f>
        <v>Tue</v>
      </c>
      <c r="O554">
        <f>DATEDIF(Table2[[#This Row],[Order Date]],Table2[[#This Row],[Delivered Date]],"D")</f>
        <v>4</v>
      </c>
      <c r="P554" s="10">
        <f>ROUND(Table2[[#This Row],[Quantity]]*Table2[[#This Row],[Unit Price]]*VLOOKUP(Table2[[#This Row],[Product Name]],Table_1[#All],2,FALSE),0)</f>
        <v>798</v>
      </c>
      <c r="Q554" s="10">
        <f>Table2[[#This Row],[Quantity]]*Table2[[#This Row],[Unit Price]]</f>
        <v>1140</v>
      </c>
      <c r="R554" s="10">
        <f>Table2[[#This Row],[Sales Revenue]]-Table2[[#This Row],[Total Cost After Product Percentage Calc]]</f>
        <v>342</v>
      </c>
    </row>
    <row r="555" spans="1:18" ht="14.25" customHeight="1" x14ac:dyDescent="0.3">
      <c r="A555" s="1">
        <v>554</v>
      </c>
      <c r="B555" s="1" t="s">
        <v>552</v>
      </c>
      <c r="C555" s="1" t="s">
        <v>18</v>
      </c>
      <c r="D555" s="1" t="s">
        <v>19</v>
      </c>
      <c r="E555" s="2">
        <v>45897</v>
      </c>
      <c r="F555" s="4">
        <v>45905</v>
      </c>
      <c r="G555" s="1">
        <v>10</v>
      </c>
      <c r="H555" s="1">
        <v>509</v>
      </c>
      <c r="I555" s="1" t="s">
        <v>30</v>
      </c>
      <c r="J555" s="1" t="s">
        <v>52</v>
      </c>
      <c r="K555" s="1" t="s">
        <v>16</v>
      </c>
      <c r="L555" t="str">
        <f>TEXT(Table2[[#This Row],[Order Date]],"YYY")</f>
        <v>2025</v>
      </c>
      <c r="M555" t="str">
        <f>TEXT(Table2[[#This Row],[Order Date]],"MMM")</f>
        <v>Aug</v>
      </c>
      <c r="N555" t="str">
        <f>TEXT(Table2[[#This Row],[Order Date]],"DDD")</f>
        <v>Thu</v>
      </c>
      <c r="O555">
        <f>DATEDIF(Table2[[#This Row],[Order Date]],Table2[[#This Row],[Delivered Date]],"D")</f>
        <v>8</v>
      </c>
      <c r="P555" s="10">
        <f>ROUND(Table2[[#This Row],[Quantity]]*Table2[[#This Row],[Unit Price]]*VLOOKUP(Table2[[#This Row],[Product Name]],Table_1[#All],2,FALSE),0)</f>
        <v>2545</v>
      </c>
      <c r="Q555" s="10">
        <f>Table2[[#This Row],[Quantity]]*Table2[[#This Row],[Unit Price]]</f>
        <v>5090</v>
      </c>
      <c r="R555" s="10">
        <f>Table2[[#This Row],[Sales Revenue]]-Table2[[#This Row],[Total Cost After Product Percentage Calc]]</f>
        <v>2545</v>
      </c>
    </row>
    <row r="556" spans="1:18" ht="14.25" customHeight="1" x14ac:dyDescent="0.3">
      <c r="A556" s="1">
        <v>555</v>
      </c>
      <c r="B556" s="1" t="s">
        <v>130</v>
      </c>
      <c r="C556" s="1" t="s">
        <v>26</v>
      </c>
      <c r="D556" s="1" t="s">
        <v>27</v>
      </c>
      <c r="E556" s="2">
        <v>45743</v>
      </c>
      <c r="F556" s="4">
        <v>45748</v>
      </c>
      <c r="G556" s="1">
        <v>1</v>
      </c>
      <c r="H556" s="1">
        <v>968</v>
      </c>
      <c r="I556" s="1" t="s">
        <v>14</v>
      </c>
      <c r="J556" s="1" t="s">
        <v>36</v>
      </c>
      <c r="K556" s="1" t="s">
        <v>32</v>
      </c>
      <c r="L556" t="str">
        <f>TEXT(Table2[[#This Row],[Order Date]],"YYY")</f>
        <v>2025</v>
      </c>
      <c r="M556" t="str">
        <f>TEXT(Table2[[#This Row],[Order Date]],"MMM")</f>
        <v>Mar</v>
      </c>
      <c r="N556" t="str">
        <f>TEXT(Table2[[#This Row],[Order Date]],"DDD")</f>
        <v>Thu</v>
      </c>
      <c r="O556">
        <f>DATEDIF(Table2[[#This Row],[Order Date]],Table2[[#This Row],[Delivered Date]],"D")</f>
        <v>5</v>
      </c>
      <c r="P556" s="10">
        <f>ROUND(Table2[[#This Row],[Quantity]]*Table2[[#This Row],[Unit Price]]*VLOOKUP(Table2[[#This Row],[Product Name]],Table_1[#All],2,FALSE),0)</f>
        <v>532</v>
      </c>
      <c r="Q556" s="10">
        <f>Table2[[#This Row],[Quantity]]*Table2[[#This Row],[Unit Price]]</f>
        <v>968</v>
      </c>
      <c r="R556" s="10">
        <f>Table2[[#This Row],[Sales Revenue]]-Table2[[#This Row],[Total Cost After Product Percentage Calc]]</f>
        <v>436</v>
      </c>
    </row>
    <row r="557" spans="1:18" ht="14.25" customHeight="1" x14ac:dyDescent="0.3"/>
    <row r="558" spans="1:18" ht="14.25" customHeight="1" x14ac:dyDescent="0.3"/>
    <row r="559" spans="1:18" ht="14.25" customHeight="1" x14ac:dyDescent="0.3"/>
    <row r="560" spans="1:18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</sheetData>
  <conditionalFormatting sqref="A2:A556">
    <cfRule type="duplicateValues" dxfId="1" priority="5"/>
  </conditionalFormatting>
  <conditionalFormatting sqref="A17">
    <cfRule type="containsBlanks" dxfId="0" priority="1">
      <formula>LEN(TRIM(A17))=0</formula>
    </cfRule>
  </conditionalFormatting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00"/>
  <sheetViews>
    <sheetView workbookViewId="0"/>
  </sheetViews>
  <sheetFormatPr defaultColWidth="14.44140625" defaultRowHeight="15" customHeight="1" x14ac:dyDescent="0.3"/>
  <cols>
    <col min="1" max="1" width="15.44140625" customWidth="1"/>
    <col min="2" max="2" width="16.44140625" customWidth="1"/>
    <col min="3" max="26" width="8.6640625" customWidth="1"/>
  </cols>
  <sheetData>
    <row r="1" spans="1:2" ht="14.25" customHeight="1" x14ac:dyDescent="0.3">
      <c r="A1" s="1" t="s">
        <v>3</v>
      </c>
      <c r="B1" s="1" t="s">
        <v>553</v>
      </c>
    </row>
    <row r="2" spans="1:2" ht="14.25" customHeight="1" x14ac:dyDescent="0.3">
      <c r="A2" s="1" t="s">
        <v>13</v>
      </c>
      <c r="B2" s="1">
        <v>0.75</v>
      </c>
    </row>
    <row r="3" spans="1:2" ht="14.25" customHeight="1" x14ac:dyDescent="0.3">
      <c r="A3" s="1" t="s">
        <v>29</v>
      </c>
      <c r="B3" s="1">
        <v>0.65</v>
      </c>
    </row>
    <row r="4" spans="1:2" ht="14.25" customHeight="1" x14ac:dyDescent="0.3">
      <c r="A4" s="1" t="s">
        <v>39</v>
      </c>
      <c r="B4" s="1">
        <v>0.8</v>
      </c>
    </row>
    <row r="5" spans="1:2" ht="14.25" customHeight="1" x14ac:dyDescent="0.3">
      <c r="A5" s="1" t="s">
        <v>62</v>
      </c>
      <c r="B5" s="1">
        <v>0.85</v>
      </c>
    </row>
    <row r="6" spans="1:2" ht="14.25" customHeight="1" x14ac:dyDescent="0.3">
      <c r="A6" s="1" t="s">
        <v>100</v>
      </c>
      <c r="B6" s="1">
        <v>0.7</v>
      </c>
    </row>
    <row r="7" spans="1:2" ht="14.25" customHeight="1" x14ac:dyDescent="0.3">
      <c r="A7" s="1" t="s">
        <v>19</v>
      </c>
      <c r="B7" s="1">
        <v>0.5</v>
      </c>
    </row>
    <row r="8" spans="1:2" ht="14.25" customHeight="1" x14ac:dyDescent="0.3">
      <c r="A8" s="1" t="s">
        <v>60</v>
      </c>
      <c r="B8" s="1">
        <v>0.55000000000000004</v>
      </c>
    </row>
    <row r="9" spans="1:2" ht="14.25" customHeight="1" x14ac:dyDescent="0.3">
      <c r="A9" s="1" t="s">
        <v>47</v>
      </c>
      <c r="B9" s="1">
        <v>0.6</v>
      </c>
    </row>
    <row r="10" spans="1:2" ht="14.25" customHeight="1" x14ac:dyDescent="0.3">
      <c r="A10" s="1" t="s">
        <v>64</v>
      </c>
      <c r="B10" s="1">
        <v>0.65</v>
      </c>
    </row>
    <row r="11" spans="1:2" ht="14.25" customHeight="1" x14ac:dyDescent="0.3">
      <c r="A11" s="1" t="s">
        <v>68</v>
      </c>
      <c r="B11" s="1">
        <v>0.5</v>
      </c>
    </row>
    <row r="12" spans="1:2" ht="14.25" customHeight="1" x14ac:dyDescent="0.3">
      <c r="A12" s="1" t="s">
        <v>56</v>
      </c>
      <c r="B12" s="1">
        <v>0.7</v>
      </c>
    </row>
    <row r="13" spans="1:2" ht="14.25" customHeight="1" x14ac:dyDescent="0.3">
      <c r="A13" s="1" t="s">
        <v>23</v>
      </c>
      <c r="B13" s="1">
        <v>0.75</v>
      </c>
    </row>
    <row r="14" spans="1:2" ht="14.25" customHeight="1" x14ac:dyDescent="0.3">
      <c r="A14" s="1" t="s">
        <v>87</v>
      </c>
      <c r="B14" s="1">
        <v>0.8</v>
      </c>
    </row>
    <row r="15" spans="1:2" ht="14.25" customHeight="1" x14ac:dyDescent="0.3">
      <c r="A15" s="1" t="s">
        <v>58</v>
      </c>
      <c r="B15" s="1">
        <v>0.7</v>
      </c>
    </row>
    <row r="16" spans="1:2" ht="14.25" customHeight="1" x14ac:dyDescent="0.3">
      <c r="A16" s="1" t="s">
        <v>43</v>
      </c>
      <c r="B16" s="1">
        <v>0.65</v>
      </c>
    </row>
    <row r="17" spans="1:2" ht="14.25" customHeight="1" x14ac:dyDescent="0.3">
      <c r="A17" s="1" t="s">
        <v>27</v>
      </c>
      <c r="B17" s="1">
        <v>0.55000000000000004</v>
      </c>
    </row>
    <row r="18" spans="1:2" ht="14.25" customHeight="1" x14ac:dyDescent="0.3">
      <c r="A18" s="1" t="s">
        <v>41</v>
      </c>
      <c r="B18" s="1">
        <v>0.5</v>
      </c>
    </row>
    <row r="19" spans="1:2" ht="14.25" customHeight="1" x14ac:dyDescent="0.3">
      <c r="A19" s="1" t="s">
        <v>104</v>
      </c>
      <c r="B19" s="1">
        <v>0.6</v>
      </c>
    </row>
    <row r="20" spans="1:2" ht="14.25" customHeight="1" x14ac:dyDescent="0.3">
      <c r="A20" s="1" t="s">
        <v>74</v>
      </c>
      <c r="B20" s="1">
        <v>0.55000000000000004</v>
      </c>
    </row>
    <row r="21" spans="1:2" ht="14.25" customHeight="1" x14ac:dyDescent="0.3">
      <c r="A21" s="1" t="s">
        <v>119</v>
      </c>
      <c r="B21" s="1">
        <v>0.6</v>
      </c>
    </row>
    <row r="22" spans="1:2" ht="14.25" customHeight="1" x14ac:dyDescent="0.3">
      <c r="A22" s="1" t="s">
        <v>35</v>
      </c>
      <c r="B22" s="1">
        <v>0.75</v>
      </c>
    </row>
    <row r="23" spans="1:2" ht="14.25" customHeight="1" x14ac:dyDescent="0.3">
      <c r="A23" s="1" t="s">
        <v>45</v>
      </c>
      <c r="B23" s="1">
        <v>0.65</v>
      </c>
    </row>
    <row r="24" spans="1:2" ht="14.25" customHeight="1" x14ac:dyDescent="0.3">
      <c r="A24" s="1" t="s">
        <v>54</v>
      </c>
      <c r="B24" s="1">
        <v>0.7</v>
      </c>
    </row>
    <row r="25" spans="1:2" ht="14.25" customHeight="1" x14ac:dyDescent="0.3">
      <c r="A25" s="1" t="s">
        <v>80</v>
      </c>
      <c r="B25" s="1">
        <v>0.75</v>
      </c>
    </row>
    <row r="26" spans="1:2" ht="14.25" customHeight="1" x14ac:dyDescent="0.3">
      <c r="A26" s="1" t="s">
        <v>83</v>
      </c>
      <c r="B26" s="1">
        <v>0.65</v>
      </c>
    </row>
    <row r="27" spans="1:2" ht="14.25" customHeight="1" x14ac:dyDescent="0.3"/>
    <row r="28" spans="1:2" ht="14.25" customHeight="1" x14ac:dyDescent="0.3"/>
    <row r="29" spans="1:2" ht="14.25" customHeight="1" x14ac:dyDescent="0.3"/>
    <row r="30" spans="1:2" ht="14.25" customHeight="1" x14ac:dyDescent="0.3"/>
    <row r="31" spans="1:2" ht="14.25" customHeight="1" x14ac:dyDescent="0.3"/>
    <row r="32" spans="1: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CC584-711C-4F00-8B46-8392F484D928}">
  <dimension ref="E7:Q332"/>
  <sheetViews>
    <sheetView tabSelected="1" zoomScale="72" workbookViewId="0">
      <selection activeCell="F58" sqref="F58"/>
    </sheetView>
  </sheetViews>
  <sheetFormatPr defaultRowHeight="14.4" x14ac:dyDescent="0.3"/>
  <cols>
    <col min="5" max="5" width="57.5546875" bestFit="1" customWidth="1"/>
    <col min="6" max="6" width="12.6640625" bestFit="1" customWidth="1"/>
    <col min="7" max="7" width="34.77734375" bestFit="1" customWidth="1"/>
    <col min="8" max="8" width="91.33203125" bestFit="1" customWidth="1"/>
    <col min="9" max="9" width="16.5546875" bestFit="1" customWidth="1"/>
    <col min="10" max="10" width="12.6640625" bestFit="1" customWidth="1"/>
    <col min="11" max="11" width="16.5546875" bestFit="1" customWidth="1"/>
    <col min="12" max="12" width="12" bestFit="1" customWidth="1"/>
    <col min="13" max="13" width="16.5546875" bestFit="1" customWidth="1"/>
    <col min="14" max="14" width="12" bestFit="1" customWidth="1"/>
    <col min="15" max="15" width="16.5546875" bestFit="1" customWidth="1"/>
    <col min="16" max="16" width="12.6640625" bestFit="1" customWidth="1"/>
  </cols>
  <sheetData>
    <row r="7" spans="5:17" ht="25.8" x14ac:dyDescent="0.5">
      <c r="E7" s="11" t="s">
        <v>561</v>
      </c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</row>
    <row r="9" spans="5:17" ht="15" thickBot="1" x14ac:dyDescent="0.35"/>
    <row r="10" spans="5:17" x14ac:dyDescent="0.3">
      <c r="E10" s="12" t="s">
        <v>557</v>
      </c>
      <c r="F10" s="13"/>
      <c r="G10" s="12" t="s">
        <v>558</v>
      </c>
      <c r="H10" s="14"/>
      <c r="I10" s="12" t="s">
        <v>560</v>
      </c>
      <c r="J10" s="14"/>
      <c r="K10" s="12" t="s">
        <v>559</v>
      </c>
      <c r="L10" s="14"/>
      <c r="M10" s="12" t="s">
        <v>6</v>
      </c>
      <c r="N10" s="14"/>
      <c r="O10" s="13" t="s">
        <v>7</v>
      </c>
      <c r="P10" s="13"/>
      <c r="Q10" s="14"/>
    </row>
    <row r="11" spans="5:17" x14ac:dyDescent="0.3">
      <c r="E11" s="15"/>
      <c r="F11" s="16"/>
      <c r="G11" s="15"/>
      <c r="H11" s="17"/>
      <c r="I11" s="15"/>
      <c r="J11" s="17"/>
      <c r="K11" s="15"/>
      <c r="L11" s="17"/>
      <c r="M11" s="15"/>
      <c r="N11" s="17"/>
      <c r="O11" s="16"/>
      <c r="P11" s="16"/>
      <c r="Q11" s="17"/>
    </row>
    <row r="12" spans="5:17" x14ac:dyDescent="0.3">
      <c r="E12" s="15" t="s">
        <v>562</v>
      </c>
      <c r="F12" s="16">
        <v>7.845045045</v>
      </c>
      <c r="G12" s="15" t="s">
        <v>562</v>
      </c>
      <c r="H12" s="17">
        <v>1724.778378</v>
      </c>
      <c r="I12" s="15" t="s">
        <v>562</v>
      </c>
      <c r="J12" s="17">
        <v>2651.4432430000002</v>
      </c>
      <c r="K12" s="15" t="s">
        <v>562</v>
      </c>
      <c r="L12" s="17">
        <v>926.6648649</v>
      </c>
      <c r="M12" s="15" t="s">
        <v>562</v>
      </c>
      <c r="N12" s="17">
        <v>5.4036036039999997</v>
      </c>
      <c r="O12" s="16" t="s">
        <v>562</v>
      </c>
      <c r="P12" s="16">
        <v>496.95135140000002</v>
      </c>
      <c r="Q12" s="17"/>
    </row>
    <row r="13" spans="5:17" x14ac:dyDescent="0.3">
      <c r="E13" s="15" t="s">
        <v>563</v>
      </c>
      <c r="F13" s="16">
        <v>0.16495863199999999</v>
      </c>
      <c r="G13" s="15" t="s">
        <v>563</v>
      </c>
      <c r="H13" s="17">
        <v>62.580494719999997</v>
      </c>
      <c r="I13" s="15" t="s">
        <v>563</v>
      </c>
      <c r="J13" s="17">
        <v>93.337646370000002</v>
      </c>
      <c r="K13" s="15" t="s">
        <v>563</v>
      </c>
      <c r="L13" s="17">
        <v>35.608461339999998</v>
      </c>
      <c r="M13" s="15" t="s">
        <v>563</v>
      </c>
      <c r="N13" s="17">
        <v>0.12491377100000001</v>
      </c>
      <c r="O13" s="16" t="s">
        <v>563</v>
      </c>
      <c r="P13" s="16">
        <v>12.16985465</v>
      </c>
      <c r="Q13" s="17"/>
    </row>
    <row r="14" spans="5:17" x14ac:dyDescent="0.3">
      <c r="E14" s="15" t="s">
        <v>564</v>
      </c>
      <c r="F14" s="16">
        <v>7</v>
      </c>
      <c r="G14" s="15" t="s">
        <v>564</v>
      </c>
      <c r="H14" s="17">
        <v>1263</v>
      </c>
      <c r="I14" s="15" t="s">
        <v>564</v>
      </c>
      <c r="J14" s="17">
        <v>1938</v>
      </c>
      <c r="K14" s="15" t="s">
        <v>564</v>
      </c>
      <c r="L14" s="17">
        <v>651</v>
      </c>
      <c r="M14" s="15" t="s">
        <v>564</v>
      </c>
      <c r="N14" s="17">
        <v>5</v>
      </c>
      <c r="O14" s="16" t="s">
        <v>564</v>
      </c>
      <c r="P14" s="16">
        <v>486</v>
      </c>
      <c r="Q14" s="17"/>
    </row>
    <row r="15" spans="5:17" x14ac:dyDescent="0.3">
      <c r="E15" s="15" t="s">
        <v>565</v>
      </c>
      <c r="F15" s="16">
        <v>6</v>
      </c>
      <c r="G15" s="15" t="s">
        <v>565</v>
      </c>
      <c r="H15" s="17">
        <v>34</v>
      </c>
      <c r="I15" s="15" t="s">
        <v>565</v>
      </c>
      <c r="J15" s="17">
        <v>1512</v>
      </c>
      <c r="K15" s="15" t="s">
        <v>565</v>
      </c>
      <c r="L15" s="17">
        <v>616</v>
      </c>
      <c r="M15" s="15" t="s">
        <v>565</v>
      </c>
      <c r="N15" s="17">
        <v>3</v>
      </c>
      <c r="O15" s="16" t="s">
        <v>565</v>
      </c>
      <c r="P15" s="16">
        <v>200</v>
      </c>
      <c r="Q15" s="17"/>
    </row>
    <row r="16" spans="5:17" x14ac:dyDescent="0.3">
      <c r="E16" s="15" t="s">
        <v>566</v>
      </c>
      <c r="F16" s="16">
        <v>3.8861677019999998</v>
      </c>
      <c r="G16" s="15" t="s">
        <v>566</v>
      </c>
      <c r="H16" s="17">
        <v>1474.298704</v>
      </c>
      <c r="I16" s="15" t="s">
        <v>566</v>
      </c>
      <c r="J16" s="17">
        <v>2198.8891530000001</v>
      </c>
      <c r="K16" s="15" t="s">
        <v>566</v>
      </c>
      <c r="L16" s="17">
        <v>838.87972790000003</v>
      </c>
      <c r="M16" s="15" t="s">
        <v>566</v>
      </c>
      <c r="N16" s="17">
        <v>2.9427733159999998</v>
      </c>
      <c r="O16" s="16" t="s">
        <v>566</v>
      </c>
      <c r="P16" s="16">
        <v>286.70276589999997</v>
      </c>
      <c r="Q16" s="17"/>
    </row>
    <row r="17" spans="5:17" x14ac:dyDescent="0.3">
      <c r="E17" s="15" t="s">
        <v>567</v>
      </c>
      <c r="F17" s="16">
        <v>15.102299410000001</v>
      </c>
      <c r="G17" s="15" t="s">
        <v>567</v>
      </c>
      <c r="H17" s="17">
        <v>2173556.6669999999</v>
      </c>
      <c r="I17" s="15" t="s">
        <v>567</v>
      </c>
      <c r="J17" s="17">
        <v>4835113.5070000002</v>
      </c>
      <c r="K17" s="15" t="s">
        <v>567</v>
      </c>
      <c r="L17" s="17">
        <v>703719.19799999997</v>
      </c>
      <c r="M17" s="15" t="s">
        <v>567</v>
      </c>
      <c r="N17" s="17">
        <v>8.659914788</v>
      </c>
      <c r="O17" s="16" t="s">
        <v>567</v>
      </c>
      <c r="P17" s="16">
        <v>82198.47597</v>
      </c>
      <c r="Q17" s="17"/>
    </row>
    <row r="18" spans="5:17" x14ac:dyDescent="0.3">
      <c r="E18" s="15" t="s">
        <v>568</v>
      </c>
      <c r="F18" s="16">
        <v>-0.30501814500000002</v>
      </c>
      <c r="G18" s="15" t="s">
        <v>568</v>
      </c>
      <c r="H18" s="17">
        <v>0.55216843500000001</v>
      </c>
      <c r="I18" s="15" t="s">
        <v>568</v>
      </c>
      <c r="J18" s="17">
        <v>-5.9990257999999998E-2</v>
      </c>
      <c r="K18" s="15" t="s">
        <v>568</v>
      </c>
      <c r="L18" s="17">
        <v>1.441709135</v>
      </c>
      <c r="M18" s="15" t="s">
        <v>568</v>
      </c>
      <c r="N18" s="17">
        <v>-1.3130806500000001</v>
      </c>
      <c r="O18" s="16" t="s">
        <v>568</v>
      </c>
      <c r="P18" s="16">
        <v>-1.1947453109999999</v>
      </c>
      <c r="Q18" s="17"/>
    </row>
    <row r="19" spans="5:17" x14ac:dyDescent="0.3">
      <c r="E19" s="15" t="s">
        <v>569</v>
      </c>
      <c r="F19" s="16">
        <v>0.38285607399999999</v>
      </c>
      <c r="G19" s="15" t="s">
        <v>569</v>
      </c>
      <c r="H19" s="17">
        <v>1.080849768</v>
      </c>
      <c r="I19" s="15" t="s">
        <v>569</v>
      </c>
      <c r="J19" s="17">
        <v>0.91702481899999999</v>
      </c>
      <c r="K19" s="15" t="s">
        <v>569</v>
      </c>
      <c r="L19" s="17">
        <v>1.285148261</v>
      </c>
      <c r="M19" s="15" t="s">
        <v>569</v>
      </c>
      <c r="N19" s="17">
        <v>2.4776099999999999E-2</v>
      </c>
      <c r="O19" s="16" t="s">
        <v>569</v>
      </c>
      <c r="P19" s="16">
        <v>7.0906230000000001E-2</v>
      </c>
      <c r="Q19" s="17"/>
    </row>
    <row r="20" spans="5:17" x14ac:dyDescent="0.3">
      <c r="E20" s="15" t="s">
        <v>570</v>
      </c>
      <c r="F20" s="16">
        <v>21</v>
      </c>
      <c r="G20" s="15" t="s">
        <v>570</v>
      </c>
      <c r="H20" s="17">
        <v>7297</v>
      </c>
      <c r="I20" s="15" t="s">
        <v>570</v>
      </c>
      <c r="J20" s="17">
        <v>9727</v>
      </c>
      <c r="K20" s="15" t="s">
        <v>570</v>
      </c>
      <c r="L20" s="17">
        <v>4610</v>
      </c>
      <c r="M20" s="15" t="s">
        <v>570</v>
      </c>
      <c r="N20" s="17">
        <v>9</v>
      </c>
      <c r="O20" s="16" t="s">
        <v>570</v>
      </c>
      <c r="P20" s="16">
        <v>988</v>
      </c>
      <c r="Q20" s="17"/>
    </row>
    <row r="21" spans="5:17" x14ac:dyDescent="0.3">
      <c r="E21" s="15" t="s">
        <v>571</v>
      </c>
      <c r="F21" s="16">
        <v>1</v>
      </c>
      <c r="G21" s="15" t="s">
        <v>571</v>
      </c>
      <c r="H21" s="17">
        <v>8</v>
      </c>
      <c r="I21" s="15" t="s">
        <v>571</v>
      </c>
      <c r="J21" s="17">
        <v>13</v>
      </c>
      <c r="K21" s="15" t="s">
        <v>571</v>
      </c>
      <c r="L21" s="17">
        <v>5</v>
      </c>
      <c r="M21" s="15" t="s">
        <v>571</v>
      </c>
      <c r="N21" s="17">
        <v>1</v>
      </c>
      <c r="O21" s="16" t="s">
        <v>571</v>
      </c>
      <c r="P21" s="16">
        <v>10</v>
      </c>
      <c r="Q21" s="17"/>
    </row>
    <row r="22" spans="5:17" x14ac:dyDescent="0.3">
      <c r="E22" s="15" t="s">
        <v>572</v>
      </c>
      <c r="F22" s="16">
        <v>22</v>
      </c>
      <c r="G22" s="15" t="s">
        <v>572</v>
      </c>
      <c r="H22" s="17">
        <v>7305</v>
      </c>
      <c r="I22" s="15" t="s">
        <v>572</v>
      </c>
      <c r="J22" s="17">
        <v>9740</v>
      </c>
      <c r="K22" s="15" t="s">
        <v>572</v>
      </c>
      <c r="L22" s="17">
        <v>4615</v>
      </c>
      <c r="M22" s="15" t="s">
        <v>572</v>
      </c>
      <c r="N22" s="17">
        <v>10</v>
      </c>
      <c r="O22" s="16" t="s">
        <v>572</v>
      </c>
      <c r="P22" s="16">
        <v>998</v>
      </c>
      <c r="Q22" s="17"/>
    </row>
    <row r="23" spans="5:17" x14ac:dyDescent="0.3">
      <c r="E23" s="15" t="s">
        <v>573</v>
      </c>
      <c r="F23" s="16">
        <v>4354</v>
      </c>
      <c r="G23" s="15" t="s">
        <v>573</v>
      </c>
      <c r="H23" s="17">
        <v>957252</v>
      </c>
      <c r="I23" s="15" t="s">
        <v>573</v>
      </c>
      <c r="J23" s="17">
        <v>1471551</v>
      </c>
      <c r="K23" s="15" t="s">
        <v>573</v>
      </c>
      <c r="L23" s="17">
        <v>514299</v>
      </c>
      <c r="M23" s="15" t="s">
        <v>573</v>
      </c>
      <c r="N23" s="17">
        <v>2999</v>
      </c>
      <c r="O23" s="16" t="s">
        <v>573</v>
      </c>
      <c r="P23" s="16">
        <v>275808</v>
      </c>
      <c r="Q23" s="17"/>
    </row>
    <row r="24" spans="5:17" x14ac:dyDescent="0.3">
      <c r="E24" s="15" t="s">
        <v>574</v>
      </c>
      <c r="F24" s="16">
        <v>555</v>
      </c>
      <c r="G24" s="15" t="s">
        <v>574</v>
      </c>
      <c r="H24" s="17">
        <v>555</v>
      </c>
      <c r="I24" s="15" t="s">
        <v>574</v>
      </c>
      <c r="J24" s="17">
        <v>555</v>
      </c>
      <c r="K24" s="15" t="s">
        <v>574</v>
      </c>
      <c r="L24" s="17">
        <v>555</v>
      </c>
      <c r="M24" s="15" t="s">
        <v>574</v>
      </c>
      <c r="N24" s="17">
        <v>555</v>
      </c>
      <c r="O24" s="16" t="s">
        <v>574</v>
      </c>
      <c r="P24" s="16">
        <v>555</v>
      </c>
      <c r="Q24" s="17"/>
    </row>
    <row r="25" spans="5:17" ht="15" thickBot="1" x14ac:dyDescent="0.35">
      <c r="E25" s="18"/>
      <c r="F25" s="5"/>
      <c r="G25" s="18"/>
      <c r="H25" s="19"/>
      <c r="I25" s="18"/>
      <c r="J25" s="19"/>
      <c r="K25" s="18"/>
      <c r="L25" s="19"/>
      <c r="M25" s="18"/>
      <c r="N25" s="19"/>
      <c r="O25" s="5"/>
      <c r="P25" s="5"/>
      <c r="Q25" s="19"/>
    </row>
    <row r="32" spans="5:17" x14ac:dyDescent="0.3">
      <c r="E32" t="s">
        <v>575</v>
      </c>
    </row>
    <row r="34" spans="5:13" x14ac:dyDescent="0.3">
      <c r="E34" t="s">
        <v>576</v>
      </c>
    </row>
    <row r="35" spans="5:13" x14ac:dyDescent="0.3">
      <c r="E35" t="s">
        <v>577</v>
      </c>
    </row>
    <row r="37" spans="5:13" x14ac:dyDescent="0.3">
      <c r="E37" t="s">
        <v>578</v>
      </c>
    </row>
    <row r="38" spans="5:13" x14ac:dyDescent="0.3">
      <c r="E38" t="s">
        <v>579</v>
      </c>
    </row>
    <row r="39" spans="5:13" x14ac:dyDescent="0.3">
      <c r="M39" t="s">
        <v>580</v>
      </c>
    </row>
    <row r="41" spans="5:13" x14ac:dyDescent="0.3">
      <c r="E41" t="s">
        <v>581</v>
      </c>
      <c r="H41" s="20" t="s">
        <v>582</v>
      </c>
    </row>
    <row r="42" spans="5:13" x14ac:dyDescent="0.3">
      <c r="E42" t="s">
        <v>583</v>
      </c>
      <c r="H42" s="20" t="s">
        <v>584</v>
      </c>
    </row>
    <row r="43" spans="5:13" x14ac:dyDescent="0.3">
      <c r="H43" s="20" t="s">
        <v>585</v>
      </c>
    </row>
    <row r="44" spans="5:13" x14ac:dyDescent="0.3">
      <c r="H44" s="20" t="s">
        <v>586</v>
      </c>
    </row>
    <row r="45" spans="5:13" x14ac:dyDescent="0.3">
      <c r="E45" t="s">
        <v>587</v>
      </c>
      <c r="F45" t="s">
        <v>30</v>
      </c>
      <c r="H45" s="20"/>
    </row>
    <row r="46" spans="5:13" x14ac:dyDescent="0.3">
      <c r="E46">
        <v>4</v>
      </c>
      <c r="F46">
        <v>16</v>
      </c>
    </row>
    <row r="47" spans="5:13" x14ac:dyDescent="0.3">
      <c r="E47">
        <v>6</v>
      </c>
      <c r="F47">
        <v>12</v>
      </c>
      <c r="H47" s="20" t="s">
        <v>588</v>
      </c>
    </row>
    <row r="48" spans="5:13" x14ac:dyDescent="0.3">
      <c r="E48">
        <v>10</v>
      </c>
      <c r="F48">
        <v>15</v>
      </c>
      <c r="H48" s="20"/>
    </row>
    <row r="49" spans="5:11" x14ac:dyDescent="0.3">
      <c r="E49">
        <v>5</v>
      </c>
      <c r="F49">
        <v>10</v>
      </c>
      <c r="H49" s="20" t="s">
        <v>589</v>
      </c>
    </row>
    <row r="50" spans="5:11" x14ac:dyDescent="0.3">
      <c r="E50">
        <v>6</v>
      </c>
      <c r="F50">
        <v>14</v>
      </c>
      <c r="H50" s="20"/>
    </row>
    <row r="51" spans="5:11" x14ac:dyDescent="0.3">
      <c r="E51">
        <v>10</v>
      </c>
      <c r="F51">
        <v>8</v>
      </c>
      <c r="H51" s="20"/>
    </row>
    <row r="52" spans="5:11" x14ac:dyDescent="0.3">
      <c r="E52">
        <v>4</v>
      </c>
      <c r="F52">
        <v>8</v>
      </c>
      <c r="H52" s="20" t="s">
        <v>590</v>
      </c>
    </row>
    <row r="53" spans="5:11" x14ac:dyDescent="0.3">
      <c r="E53">
        <v>9</v>
      </c>
      <c r="F53">
        <v>12</v>
      </c>
      <c r="H53" s="20" t="s">
        <v>591</v>
      </c>
    </row>
    <row r="54" spans="5:11" x14ac:dyDescent="0.3">
      <c r="E54">
        <v>3</v>
      </c>
      <c r="F54">
        <v>11</v>
      </c>
      <c r="H54" s="20" t="s">
        <v>592</v>
      </c>
    </row>
    <row r="55" spans="5:11" x14ac:dyDescent="0.3">
      <c r="E55">
        <v>9</v>
      </c>
      <c r="F55">
        <v>5</v>
      </c>
      <c r="H55" s="20"/>
    </row>
    <row r="56" spans="5:11" x14ac:dyDescent="0.3">
      <c r="E56">
        <v>9</v>
      </c>
      <c r="F56">
        <v>14</v>
      </c>
    </row>
    <row r="57" spans="5:11" x14ac:dyDescent="0.3">
      <c r="E57">
        <v>10</v>
      </c>
      <c r="F57">
        <v>5</v>
      </c>
    </row>
    <row r="58" spans="5:11" ht="15" thickBot="1" x14ac:dyDescent="0.35">
      <c r="E58">
        <v>6</v>
      </c>
      <c r="F58">
        <v>4</v>
      </c>
    </row>
    <row r="59" spans="5:11" x14ac:dyDescent="0.3">
      <c r="E59">
        <v>3</v>
      </c>
      <c r="F59">
        <v>6</v>
      </c>
      <c r="H59" s="21"/>
      <c r="I59" s="22"/>
      <c r="J59" s="22"/>
      <c r="K59" s="23"/>
    </row>
    <row r="60" spans="5:11" x14ac:dyDescent="0.3">
      <c r="E60">
        <v>3</v>
      </c>
      <c r="F60">
        <v>11</v>
      </c>
      <c r="H60" s="24" t="s">
        <v>593</v>
      </c>
      <c r="I60" s="25"/>
      <c r="J60" s="25"/>
      <c r="K60" s="26"/>
    </row>
    <row r="61" spans="5:11" x14ac:dyDescent="0.3">
      <c r="E61">
        <v>10</v>
      </c>
      <c r="F61">
        <v>3</v>
      </c>
      <c r="H61" s="24"/>
      <c r="I61" s="25"/>
      <c r="J61" s="25"/>
      <c r="K61" s="26"/>
    </row>
    <row r="62" spans="5:11" x14ac:dyDescent="0.3">
      <c r="E62">
        <v>11</v>
      </c>
      <c r="F62">
        <v>14</v>
      </c>
      <c r="H62" s="24"/>
      <c r="I62" s="25">
        <v>4</v>
      </c>
      <c r="J62" s="25">
        <v>16</v>
      </c>
      <c r="K62" s="26"/>
    </row>
    <row r="63" spans="5:11" x14ac:dyDescent="0.3">
      <c r="E63">
        <v>3</v>
      </c>
      <c r="F63">
        <v>7</v>
      </c>
      <c r="H63" s="24" t="s">
        <v>562</v>
      </c>
      <c r="I63" s="25">
        <v>6.9930069929999998</v>
      </c>
      <c r="J63" s="25">
        <v>8.741573034</v>
      </c>
      <c r="K63" s="26"/>
    </row>
    <row r="64" spans="5:11" x14ac:dyDescent="0.3">
      <c r="E64">
        <v>12</v>
      </c>
      <c r="F64">
        <v>3</v>
      </c>
      <c r="H64" s="24" t="s">
        <v>594</v>
      </c>
      <c r="I64" s="25">
        <v>12.7157404</v>
      </c>
      <c r="J64" s="25">
        <v>15.93672383</v>
      </c>
      <c r="K64" s="26"/>
    </row>
    <row r="65" spans="5:11" x14ac:dyDescent="0.3">
      <c r="E65">
        <v>14</v>
      </c>
      <c r="F65">
        <v>10</v>
      </c>
      <c r="H65" s="24" t="s">
        <v>595</v>
      </c>
      <c r="I65" s="25">
        <v>286</v>
      </c>
      <c r="J65" s="25">
        <v>267</v>
      </c>
      <c r="K65" s="26"/>
    </row>
    <row r="66" spans="5:11" x14ac:dyDescent="0.3">
      <c r="E66">
        <v>7</v>
      </c>
      <c r="F66">
        <v>7</v>
      </c>
      <c r="H66" s="24" t="s">
        <v>596</v>
      </c>
      <c r="I66" s="25">
        <v>0</v>
      </c>
      <c r="J66" s="25"/>
      <c r="K66" s="26"/>
    </row>
    <row r="67" spans="5:11" x14ac:dyDescent="0.3">
      <c r="E67">
        <v>3</v>
      </c>
      <c r="F67">
        <v>4</v>
      </c>
      <c r="H67" s="24" t="s">
        <v>597</v>
      </c>
      <c r="I67" s="25">
        <v>534</v>
      </c>
      <c r="J67" s="25"/>
      <c r="K67" s="26"/>
    </row>
    <row r="68" spans="5:11" x14ac:dyDescent="0.3">
      <c r="E68">
        <v>5</v>
      </c>
      <c r="F68">
        <v>10</v>
      </c>
      <c r="H68" s="24" t="s">
        <v>598</v>
      </c>
      <c r="I68" s="25">
        <v>-5.4182000989999999</v>
      </c>
      <c r="J68" s="25"/>
      <c r="K68" s="26"/>
    </row>
    <row r="69" spans="5:11" x14ac:dyDescent="0.3">
      <c r="E69">
        <v>13</v>
      </c>
      <c r="F69">
        <v>14</v>
      </c>
      <c r="H69" s="24" t="s">
        <v>599</v>
      </c>
      <c r="I69" s="27">
        <v>4.5614400000000002E-8</v>
      </c>
      <c r="J69" s="25"/>
      <c r="K69" s="26"/>
    </row>
    <row r="70" spans="5:11" x14ac:dyDescent="0.3">
      <c r="E70">
        <v>5</v>
      </c>
      <c r="F70">
        <v>4</v>
      </c>
      <c r="H70" s="24" t="s">
        <v>600</v>
      </c>
      <c r="I70" s="25">
        <v>1.6477121139999999</v>
      </c>
      <c r="J70" s="25"/>
      <c r="K70" s="26"/>
    </row>
    <row r="71" spans="5:11" x14ac:dyDescent="0.3">
      <c r="E71">
        <v>5</v>
      </c>
      <c r="F71">
        <v>13</v>
      </c>
      <c r="H71" s="24" t="s">
        <v>601</v>
      </c>
      <c r="I71" s="27">
        <v>9.1228800000000005E-8</v>
      </c>
      <c r="J71" s="25"/>
      <c r="K71" s="26" t="s">
        <v>602</v>
      </c>
    </row>
    <row r="72" spans="5:11" x14ac:dyDescent="0.3">
      <c r="E72">
        <v>12</v>
      </c>
      <c r="F72">
        <v>12</v>
      </c>
      <c r="H72" s="24" t="s">
        <v>603</v>
      </c>
      <c r="I72" s="25">
        <v>1.964416355</v>
      </c>
      <c r="J72" s="25"/>
      <c r="K72" s="26"/>
    </row>
    <row r="73" spans="5:11" ht="15" thickBot="1" x14ac:dyDescent="0.35">
      <c r="E73">
        <v>14</v>
      </c>
      <c r="F73">
        <v>11</v>
      </c>
      <c r="H73" s="28"/>
      <c r="I73" s="29"/>
      <c r="J73" s="29"/>
      <c r="K73" s="30"/>
    </row>
    <row r="74" spans="5:11" x14ac:dyDescent="0.3">
      <c r="E74">
        <v>7</v>
      </c>
      <c r="F74">
        <v>6</v>
      </c>
    </row>
    <row r="75" spans="5:11" x14ac:dyDescent="0.3">
      <c r="E75">
        <v>4</v>
      </c>
      <c r="F75">
        <v>13</v>
      </c>
    </row>
    <row r="76" spans="5:11" x14ac:dyDescent="0.3">
      <c r="E76">
        <v>8</v>
      </c>
      <c r="F76">
        <v>13</v>
      </c>
    </row>
    <row r="77" spans="5:11" x14ac:dyDescent="0.3">
      <c r="E77">
        <v>11</v>
      </c>
      <c r="F77">
        <v>6</v>
      </c>
    </row>
    <row r="78" spans="5:11" x14ac:dyDescent="0.3">
      <c r="E78">
        <v>6</v>
      </c>
      <c r="F78">
        <v>14</v>
      </c>
    </row>
    <row r="79" spans="5:11" x14ac:dyDescent="0.3">
      <c r="E79">
        <v>5</v>
      </c>
      <c r="F79">
        <v>13</v>
      </c>
    </row>
    <row r="80" spans="5:11" x14ac:dyDescent="0.3">
      <c r="E80">
        <v>11</v>
      </c>
      <c r="F80">
        <v>14</v>
      </c>
    </row>
    <row r="81" spans="5:6" x14ac:dyDescent="0.3">
      <c r="E81">
        <v>4</v>
      </c>
      <c r="F81">
        <v>5</v>
      </c>
    </row>
    <row r="82" spans="5:6" x14ac:dyDescent="0.3">
      <c r="E82">
        <v>7</v>
      </c>
      <c r="F82">
        <v>12</v>
      </c>
    </row>
    <row r="83" spans="5:6" x14ac:dyDescent="0.3">
      <c r="E83">
        <v>9</v>
      </c>
      <c r="F83">
        <v>3</v>
      </c>
    </row>
    <row r="84" spans="5:6" x14ac:dyDescent="0.3">
      <c r="E84">
        <v>8</v>
      </c>
      <c r="F84">
        <v>11</v>
      </c>
    </row>
    <row r="85" spans="5:6" x14ac:dyDescent="0.3">
      <c r="E85">
        <v>13</v>
      </c>
      <c r="F85">
        <v>7</v>
      </c>
    </row>
    <row r="86" spans="5:6" x14ac:dyDescent="0.3">
      <c r="E86">
        <v>6</v>
      </c>
      <c r="F86">
        <v>12</v>
      </c>
    </row>
    <row r="87" spans="5:6" x14ac:dyDescent="0.3">
      <c r="E87">
        <v>14</v>
      </c>
      <c r="F87">
        <v>7</v>
      </c>
    </row>
    <row r="88" spans="5:6" x14ac:dyDescent="0.3">
      <c r="E88">
        <v>9</v>
      </c>
      <c r="F88">
        <v>12</v>
      </c>
    </row>
    <row r="89" spans="5:6" x14ac:dyDescent="0.3">
      <c r="E89">
        <v>14</v>
      </c>
      <c r="F89">
        <v>10</v>
      </c>
    </row>
    <row r="90" spans="5:6" x14ac:dyDescent="0.3">
      <c r="E90">
        <v>11</v>
      </c>
      <c r="F90">
        <v>9</v>
      </c>
    </row>
    <row r="91" spans="5:6" x14ac:dyDescent="0.3">
      <c r="E91">
        <v>13</v>
      </c>
      <c r="F91">
        <v>7</v>
      </c>
    </row>
    <row r="92" spans="5:6" x14ac:dyDescent="0.3">
      <c r="E92">
        <v>7</v>
      </c>
      <c r="F92">
        <v>10</v>
      </c>
    </row>
    <row r="93" spans="5:6" x14ac:dyDescent="0.3">
      <c r="E93">
        <v>6</v>
      </c>
      <c r="F93">
        <v>6</v>
      </c>
    </row>
    <row r="94" spans="5:6" x14ac:dyDescent="0.3">
      <c r="E94">
        <v>5</v>
      </c>
      <c r="F94">
        <v>5</v>
      </c>
    </row>
    <row r="95" spans="5:6" x14ac:dyDescent="0.3">
      <c r="E95">
        <v>10</v>
      </c>
      <c r="F95">
        <v>7</v>
      </c>
    </row>
    <row r="96" spans="5:6" x14ac:dyDescent="0.3">
      <c r="E96">
        <v>4</v>
      </c>
      <c r="F96">
        <v>5</v>
      </c>
    </row>
    <row r="97" spans="5:6" x14ac:dyDescent="0.3">
      <c r="E97">
        <v>13</v>
      </c>
      <c r="F97">
        <v>4</v>
      </c>
    </row>
    <row r="98" spans="5:6" x14ac:dyDescent="0.3">
      <c r="E98">
        <v>4</v>
      </c>
      <c r="F98">
        <v>5</v>
      </c>
    </row>
    <row r="99" spans="5:6" x14ac:dyDescent="0.3">
      <c r="E99">
        <v>14</v>
      </c>
      <c r="F99">
        <v>4</v>
      </c>
    </row>
    <row r="100" spans="5:6" x14ac:dyDescent="0.3">
      <c r="E100">
        <v>12</v>
      </c>
      <c r="F100">
        <v>14</v>
      </c>
    </row>
    <row r="101" spans="5:6" x14ac:dyDescent="0.3">
      <c r="E101">
        <v>4</v>
      </c>
      <c r="F101">
        <v>21</v>
      </c>
    </row>
    <row r="102" spans="5:6" x14ac:dyDescent="0.3">
      <c r="E102">
        <v>4</v>
      </c>
      <c r="F102">
        <v>4</v>
      </c>
    </row>
    <row r="103" spans="5:6" x14ac:dyDescent="0.3">
      <c r="E103">
        <v>7</v>
      </c>
      <c r="F103">
        <v>13</v>
      </c>
    </row>
    <row r="104" spans="5:6" x14ac:dyDescent="0.3">
      <c r="E104">
        <v>11</v>
      </c>
      <c r="F104">
        <v>6</v>
      </c>
    </row>
    <row r="105" spans="5:6" x14ac:dyDescent="0.3">
      <c r="E105">
        <v>6</v>
      </c>
      <c r="F105">
        <v>12</v>
      </c>
    </row>
    <row r="106" spans="5:6" x14ac:dyDescent="0.3">
      <c r="E106">
        <v>4</v>
      </c>
      <c r="F106">
        <v>7</v>
      </c>
    </row>
    <row r="107" spans="5:6" x14ac:dyDescent="0.3">
      <c r="E107">
        <v>6</v>
      </c>
      <c r="F107">
        <v>12</v>
      </c>
    </row>
    <row r="108" spans="5:6" x14ac:dyDescent="0.3">
      <c r="E108">
        <v>8</v>
      </c>
      <c r="F108">
        <v>10</v>
      </c>
    </row>
    <row r="109" spans="5:6" x14ac:dyDescent="0.3">
      <c r="E109">
        <v>8</v>
      </c>
      <c r="F109">
        <v>11</v>
      </c>
    </row>
    <row r="110" spans="5:6" x14ac:dyDescent="0.3">
      <c r="E110">
        <v>6</v>
      </c>
      <c r="F110">
        <v>6</v>
      </c>
    </row>
    <row r="111" spans="5:6" x14ac:dyDescent="0.3">
      <c r="E111">
        <v>10</v>
      </c>
      <c r="F111">
        <v>6</v>
      </c>
    </row>
    <row r="112" spans="5:6" x14ac:dyDescent="0.3">
      <c r="E112">
        <v>4</v>
      </c>
      <c r="F112">
        <v>5</v>
      </c>
    </row>
    <row r="113" spans="5:6" x14ac:dyDescent="0.3">
      <c r="E113">
        <v>11</v>
      </c>
      <c r="F113">
        <v>5</v>
      </c>
    </row>
    <row r="114" spans="5:6" x14ac:dyDescent="0.3">
      <c r="E114">
        <v>4</v>
      </c>
      <c r="F114">
        <v>14</v>
      </c>
    </row>
    <row r="115" spans="5:6" x14ac:dyDescent="0.3">
      <c r="E115">
        <v>8</v>
      </c>
      <c r="F115">
        <v>11</v>
      </c>
    </row>
    <row r="116" spans="5:6" x14ac:dyDescent="0.3">
      <c r="E116">
        <v>9</v>
      </c>
      <c r="F116">
        <v>9</v>
      </c>
    </row>
    <row r="117" spans="5:6" x14ac:dyDescent="0.3">
      <c r="E117">
        <v>3</v>
      </c>
      <c r="F117">
        <v>19</v>
      </c>
    </row>
    <row r="118" spans="5:6" x14ac:dyDescent="0.3">
      <c r="E118">
        <v>12</v>
      </c>
      <c r="F118">
        <v>7</v>
      </c>
    </row>
    <row r="119" spans="5:6" x14ac:dyDescent="0.3">
      <c r="E119">
        <v>3</v>
      </c>
      <c r="F119">
        <v>8</v>
      </c>
    </row>
    <row r="120" spans="5:6" x14ac:dyDescent="0.3">
      <c r="E120">
        <v>14</v>
      </c>
      <c r="F120">
        <v>20</v>
      </c>
    </row>
    <row r="121" spans="5:6" x14ac:dyDescent="0.3">
      <c r="E121">
        <v>8</v>
      </c>
      <c r="F121">
        <v>13</v>
      </c>
    </row>
    <row r="122" spans="5:6" x14ac:dyDescent="0.3">
      <c r="E122">
        <v>3</v>
      </c>
      <c r="F122">
        <v>13</v>
      </c>
    </row>
    <row r="123" spans="5:6" x14ac:dyDescent="0.3">
      <c r="E123">
        <v>4</v>
      </c>
      <c r="F123">
        <v>8</v>
      </c>
    </row>
    <row r="124" spans="5:6" x14ac:dyDescent="0.3">
      <c r="E124">
        <v>5</v>
      </c>
      <c r="F124">
        <v>11</v>
      </c>
    </row>
    <row r="125" spans="5:6" x14ac:dyDescent="0.3">
      <c r="E125">
        <v>9</v>
      </c>
      <c r="F125">
        <v>10</v>
      </c>
    </row>
    <row r="126" spans="5:6" x14ac:dyDescent="0.3">
      <c r="E126">
        <v>14</v>
      </c>
      <c r="F126">
        <v>4</v>
      </c>
    </row>
    <row r="127" spans="5:6" x14ac:dyDescent="0.3">
      <c r="E127">
        <v>5</v>
      </c>
      <c r="F127">
        <v>13</v>
      </c>
    </row>
    <row r="128" spans="5:6" x14ac:dyDescent="0.3">
      <c r="E128">
        <v>6</v>
      </c>
      <c r="F128">
        <v>12</v>
      </c>
    </row>
    <row r="129" spans="5:6" x14ac:dyDescent="0.3">
      <c r="E129">
        <v>9</v>
      </c>
      <c r="F129">
        <v>3</v>
      </c>
    </row>
    <row r="130" spans="5:6" x14ac:dyDescent="0.3">
      <c r="E130">
        <v>8</v>
      </c>
      <c r="F130">
        <v>15</v>
      </c>
    </row>
    <row r="131" spans="5:6" x14ac:dyDescent="0.3">
      <c r="E131">
        <v>12</v>
      </c>
      <c r="F131">
        <v>5</v>
      </c>
    </row>
    <row r="132" spans="5:6" x14ac:dyDescent="0.3">
      <c r="E132">
        <v>5</v>
      </c>
      <c r="F132">
        <v>12</v>
      </c>
    </row>
    <row r="133" spans="5:6" x14ac:dyDescent="0.3">
      <c r="E133">
        <v>7</v>
      </c>
      <c r="F133">
        <v>8</v>
      </c>
    </row>
    <row r="134" spans="5:6" x14ac:dyDescent="0.3">
      <c r="E134">
        <v>4</v>
      </c>
      <c r="F134">
        <v>14</v>
      </c>
    </row>
    <row r="135" spans="5:6" x14ac:dyDescent="0.3">
      <c r="E135">
        <v>14</v>
      </c>
      <c r="F135">
        <v>4</v>
      </c>
    </row>
    <row r="136" spans="5:6" x14ac:dyDescent="0.3">
      <c r="E136">
        <v>14</v>
      </c>
      <c r="F136">
        <v>6</v>
      </c>
    </row>
    <row r="137" spans="5:6" x14ac:dyDescent="0.3">
      <c r="E137">
        <v>7</v>
      </c>
      <c r="F137">
        <v>12</v>
      </c>
    </row>
    <row r="138" spans="5:6" x14ac:dyDescent="0.3">
      <c r="E138">
        <v>13</v>
      </c>
      <c r="F138">
        <v>13</v>
      </c>
    </row>
    <row r="139" spans="5:6" x14ac:dyDescent="0.3">
      <c r="E139">
        <v>13</v>
      </c>
      <c r="F139">
        <v>7</v>
      </c>
    </row>
    <row r="140" spans="5:6" x14ac:dyDescent="0.3">
      <c r="E140">
        <v>10</v>
      </c>
      <c r="F140">
        <v>12</v>
      </c>
    </row>
    <row r="141" spans="5:6" x14ac:dyDescent="0.3">
      <c r="E141">
        <v>7</v>
      </c>
      <c r="F141">
        <v>12</v>
      </c>
    </row>
    <row r="142" spans="5:6" x14ac:dyDescent="0.3">
      <c r="E142">
        <v>8</v>
      </c>
      <c r="F142">
        <v>11</v>
      </c>
    </row>
    <row r="143" spans="5:6" x14ac:dyDescent="0.3">
      <c r="E143">
        <v>12</v>
      </c>
      <c r="F143">
        <v>13</v>
      </c>
    </row>
    <row r="144" spans="5:6" x14ac:dyDescent="0.3">
      <c r="E144">
        <v>10</v>
      </c>
      <c r="F144">
        <v>9</v>
      </c>
    </row>
    <row r="145" spans="5:6" x14ac:dyDescent="0.3">
      <c r="E145">
        <v>4</v>
      </c>
      <c r="F145">
        <v>7</v>
      </c>
    </row>
    <row r="146" spans="5:6" x14ac:dyDescent="0.3">
      <c r="E146">
        <v>12</v>
      </c>
      <c r="F146">
        <v>8</v>
      </c>
    </row>
    <row r="147" spans="5:6" x14ac:dyDescent="0.3">
      <c r="E147">
        <v>7</v>
      </c>
      <c r="F147">
        <v>12</v>
      </c>
    </row>
    <row r="148" spans="5:6" x14ac:dyDescent="0.3">
      <c r="E148">
        <v>12</v>
      </c>
      <c r="F148">
        <v>12</v>
      </c>
    </row>
    <row r="149" spans="5:6" x14ac:dyDescent="0.3">
      <c r="E149">
        <v>13</v>
      </c>
      <c r="F149">
        <v>10</v>
      </c>
    </row>
    <row r="150" spans="5:6" x14ac:dyDescent="0.3">
      <c r="E150">
        <v>7</v>
      </c>
      <c r="F150">
        <v>3</v>
      </c>
    </row>
    <row r="151" spans="5:6" x14ac:dyDescent="0.3">
      <c r="E151">
        <v>14</v>
      </c>
      <c r="F151">
        <v>20</v>
      </c>
    </row>
    <row r="152" spans="5:6" x14ac:dyDescent="0.3">
      <c r="E152">
        <v>6</v>
      </c>
      <c r="F152">
        <v>9</v>
      </c>
    </row>
    <row r="153" spans="5:6" x14ac:dyDescent="0.3">
      <c r="E153">
        <v>11</v>
      </c>
      <c r="F153">
        <v>3</v>
      </c>
    </row>
    <row r="154" spans="5:6" x14ac:dyDescent="0.3">
      <c r="E154">
        <v>4</v>
      </c>
      <c r="F154">
        <v>7</v>
      </c>
    </row>
    <row r="155" spans="5:6" x14ac:dyDescent="0.3">
      <c r="E155">
        <v>6</v>
      </c>
      <c r="F155">
        <v>9</v>
      </c>
    </row>
    <row r="156" spans="5:6" x14ac:dyDescent="0.3">
      <c r="E156">
        <v>7</v>
      </c>
      <c r="F156">
        <v>13</v>
      </c>
    </row>
    <row r="157" spans="5:6" x14ac:dyDescent="0.3">
      <c r="E157">
        <v>10</v>
      </c>
      <c r="F157">
        <v>13</v>
      </c>
    </row>
    <row r="158" spans="5:6" x14ac:dyDescent="0.3">
      <c r="E158">
        <v>8</v>
      </c>
      <c r="F158">
        <v>8</v>
      </c>
    </row>
    <row r="159" spans="5:6" x14ac:dyDescent="0.3">
      <c r="E159">
        <v>3</v>
      </c>
      <c r="F159">
        <v>13</v>
      </c>
    </row>
    <row r="160" spans="5:6" x14ac:dyDescent="0.3">
      <c r="E160">
        <v>5</v>
      </c>
      <c r="F160">
        <v>13</v>
      </c>
    </row>
    <row r="161" spans="5:6" x14ac:dyDescent="0.3">
      <c r="E161">
        <v>10</v>
      </c>
      <c r="F161">
        <v>14</v>
      </c>
    </row>
    <row r="162" spans="5:6" x14ac:dyDescent="0.3">
      <c r="E162">
        <v>13</v>
      </c>
      <c r="F162">
        <v>11</v>
      </c>
    </row>
    <row r="163" spans="5:6" x14ac:dyDescent="0.3">
      <c r="E163">
        <v>3</v>
      </c>
      <c r="F163">
        <v>6</v>
      </c>
    </row>
    <row r="164" spans="5:6" x14ac:dyDescent="0.3">
      <c r="E164">
        <v>14</v>
      </c>
      <c r="F164">
        <v>4</v>
      </c>
    </row>
    <row r="165" spans="5:6" x14ac:dyDescent="0.3">
      <c r="E165">
        <v>13</v>
      </c>
      <c r="F165">
        <v>6</v>
      </c>
    </row>
    <row r="166" spans="5:6" x14ac:dyDescent="0.3">
      <c r="E166">
        <v>11</v>
      </c>
      <c r="F166">
        <v>3</v>
      </c>
    </row>
    <row r="167" spans="5:6" x14ac:dyDescent="0.3">
      <c r="E167">
        <v>13</v>
      </c>
      <c r="F167">
        <v>22</v>
      </c>
    </row>
    <row r="168" spans="5:6" x14ac:dyDescent="0.3">
      <c r="E168">
        <v>9</v>
      </c>
      <c r="F168">
        <v>8</v>
      </c>
    </row>
    <row r="169" spans="5:6" x14ac:dyDescent="0.3">
      <c r="E169">
        <v>9</v>
      </c>
      <c r="F169">
        <v>13</v>
      </c>
    </row>
    <row r="170" spans="5:6" x14ac:dyDescent="0.3">
      <c r="E170">
        <v>5</v>
      </c>
      <c r="F170">
        <v>8</v>
      </c>
    </row>
    <row r="171" spans="5:6" x14ac:dyDescent="0.3">
      <c r="E171">
        <v>9</v>
      </c>
      <c r="F171">
        <v>5</v>
      </c>
    </row>
    <row r="172" spans="5:6" x14ac:dyDescent="0.3">
      <c r="E172">
        <v>8</v>
      </c>
      <c r="F172">
        <v>10</v>
      </c>
    </row>
    <row r="173" spans="5:6" x14ac:dyDescent="0.3">
      <c r="E173">
        <v>10</v>
      </c>
      <c r="F173">
        <v>12</v>
      </c>
    </row>
    <row r="174" spans="5:6" x14ac:dyDescent="0.3">
      <c r="E174">
        <v>14</v>
      </c>
      <c r="F174">
        <v>4</v>
      </c>
    </row>
    <row r="175" spans="5:6" x14ac:dyDescent="0.3">
      <c r="E175">
        <v>10</v>
      </c>
      <c r="F175">
        <v>12</v>
      </c>
    </row>
    <row r="176" spans="5:6" x14ac:dyDescent="0.3">
      <c r="E176">
        <v>13</v>
      </c>
      <c r="F176">
        <v>14</v>
      </c>
    </row>
    <row r="177" spans="5:6" x14ac:dyDescent="0.3">
      <c r="E177">
        <v>9</v>
      </c>
      <c r="F177">
        <v>4</v>
      </c>
    </row>
    <row r="178" spans="5:6" x14ac:dyDescent="0.3">
      <c r="E178">
        <v>4</v>
      </c>
      <c r="F178">
        <v>13</v>
      </c>
    </row>
    <row r="179" spans="5:6" x14ac:dyDescent="0.3">
      <c r="E179">
        <v>4</v>
      </c>
      <c r="F179">
        <v>4</v>
      </c>
    </row>
    <row r="180" spans="5:6" x14ac:dyDescent="0.3">
      <c r="E180">
        <v>9</v>
      </c>
      <c r="F180">
        <v>7</v>
      </c>
    </row>
    <row r="181" spans="5:6" x14ac:dyDescent="0.3">
      <c r="E181">
        <v>7</v>
      </c>
      <c r="F181">
        <v>11</v>
      </c>
    </row>
    <row r="182" spans="5:6" x14ac:dyDescent="0.3">
      <c r="E182">
        <v>13</v>
      </c>
      <c r="F182">
        <v>6</v>
      </c>
    </row>
    <row r="183" spans="5:6" x14ac:dyDescent="0.3">
      <c r="E183">
        <v>11</v>
      </c>
      <c r="F183">
        <v>6</v>
      </c>
    </row>
    <row r="184" spans="5:6" x14ac:dyDescent="0.3">
      <c r="E184">
        <v>6</v>
      </c>
      <c r="F184">
        <v>12</v>
      </c>
    </row>
    <row r="185" spans="5:6" x14ac:dyDescent="0.3">
      <c r="E185">
        <v>13</v>
      </c>
      <c r="F185">
        <v>7</v>
      </c>
    </row>
    <row r="186" spans="5:6" x14ac:dyDescent="0.3">
      <c r="E186">
        <v>5</v>
      </c>
      <c r="F186">
        <v>3</v>
      </c>
    </row>
    <row r="187" spans="5:6" x14ac:dyDescent="0.3">
      <c r="E187">
        <v>4</v>
      </c>
      <c r="F187">
        <v>4</v>
      </c>
    </row>
    <row r="188" spans="5:6" x14ac:dyDescent="0.3">
      <c r="E188">
        <v>3</v>
      </c>
      <c r="F188">
        <v>3</v>
      </c>
    </row>
    <row r="189" spans="5:6" x14ac:dyDescent="0.3">
      <c r="E189">
        <v>13</v>
      </c>
      <c r="F189">
        <v>14</v>
      </c>
    </row>
    <row r="190" spans="5:6" x14ac:dyDescent="0.3">
      <c r="E190">
        <v>6</v>
      </c>
      <c r="F190">
        <v>14</v>
      </c>
    </row>
    <row r="191" spans="5:6" x14ac:dyDescent="0.3">
      <c r="E191">
        <v>4</v>
      </c>
      <c r="F191">
        <v>7</v>
      </c>
    </row>
    <row r="192" spans="5:6" x14ac:dyDescent="0.3">
      <c r="E192">
        <v>14</v>
      </c>
      <c r="F192">
        <v>13</v>
      </c>
    </row>
    <row r="193" spans="5:6" x14ac:dyDescent="0.3">
      <c r="E193">
        <v>10</v>
      </c>
      <c r="F193">
        <v>10</v>
      </c>
    </row>
    <row r="194" spans="5:6" x14ac:dyDescent="0.3">
      <c r="E194">
        <v>3</v>
      </c>
      <c r="F194">
        <v>4</v>
      </c>
    </row>
    <row r="195" spans="5:6" x14ac:dyDescent="0.3">
      <c r="E195">
        <v>13</v>
      </c>
      <c r="F195">
        <v>11</v>
      </c>
    </row>
    <row r="196" spans="5:6" x14ac:dyDescent="0.3">
      <c r="E196">
        <v>12</v>
      </c>
      <c r="F196">
        <v>15</v>
      </c>
    </row>
    <row r="197" spans="5:6" x14ac:dyDescent="0.3">
      <c r="E197">
        <v>5</v>
      </c>
      <c r="F197">
        <v>6</v>
      </c>
    </row>
    <row r="198" spans="5:6" x14ac:dyDescent="0.3">
      <c r="E198">
        <v>11</v>
      </c>
      <c r="F198">
        <v>13</v>
      </c>
    </row>
    <row r="199" spans="5:6" x14ac:dyDescent="0.3">
      <c r="E199">
        <v>10</v>
      </c>
      <c r="F199">
        <v>8</v>
      </c>
    </row>
    <row r="200" spans="5:6" x14ac:dyDescent="0.3">
      <c r="E200">
        <v>6</v>
      </c>
      <c r="F200">
        <v>11</v>
      </c>
    </row>
    <row r="201" spans="5:6" x14ac:dyDescent="0.3">
      <c r="E201">
        <v>4</v>
      </c>
      <c r="F201">
        <v>5</v>
      </c>
    </row>
    <row r="202" spans="5:6" x14ac:dyDescent="0.3">
      <c r="E202">
        <v>7</v>
      </c>
      <c r="F202">
        <v>14</v>
      </c>
    </row>
    <row r="203" spans="5:6" x14ac:dyDescent="0.3">
      <c r="E203">
        <v>9</v>
      </c>
      <c r="F203">
        <v>5</v>
      </c>
    </row>
    <row r="204" spans="5:6" x14ac:dyDescent="0.3">
      <c r="E204">
        <v>5</v>
      </c>
      <c r="F204">
        <v>6</v>
      </c>
    </row>
    <row r="205" spans="5:6" x14ac:dyDescent="0.3">
      <c r="E205">
        <v>5</v>
      </c>
      <c r="F205">
        <v>11</v>
      </c>
    </row>
    <row r="206" spans="5:6" x14ac:dyDescent="0.3">
      <c r="E206">
        <v>6</v>
      </c>
      <c r="F206">
        <v>15</v>
      </c>
    </row>
    <row r="207" spans="5:6" x14ac:dyDescent="0.3">
      <c r="E207">
        <v>6</v>
      </c>
      <c r="F207">
        <v>4</v>
      </c>
    </row>
    <row r="208" spans="5:6" x14ac:dyDescent="0.3">
      <c r="E208">
        <v>6</v>
      </c>
      <c r="F208">
        <v>9</v>
      </c>
    </row>
    <row r="209" spans="5:6" x14ac:dyDescent="0.3">
      <c r="E209">
        <v>6</v>
      </c>
      <c r="F209">
        <v>10</v>
      </c>
    </row>
    <row r="210" spans="5:6" x14ac:dyDescent="0.3">
      <c r="E210">
        <v>6</v>
      </c>
      <c r="F210">
        <v>5</v>
      </c>
    </row>
    <row r="211" spans="5:6" x14ac:dyDescent="0.3">
      <c r="E211">
        <v>9</v>
      </c>
      <c r="F211">
        <v>9</v>
      </c>
    </row>
    <row r="212" spans="5:6" x14ac:dyDescent="0.3">
      <c r="E212">
        <v>9</v>
      </c>
      <c r="F212">
        <v>6</v>
      </c>
    </row>
    <row r="213" spans="5:6" x14ac:dyDescent="0.3">
      <c r="E213">
        <v>1</v>
      </c>
      <c r="F213">
        <v>4</v>
      </c>
    </row>
    <row r="214" spans="5:6" x14ac:dyDescent="0.3">
      <c r="E214">
        <v>5</v>
      </c>
      <c r="F214">
        <v>7</v>
      </c>
    </row>
    <row r="215" spans="5:6" x14ac:dyDescent="0.3">
      <c r="E215">
        <v>4</v>
      </c>
      <c r="F215">
        <v>6</v>
      </c>
    </row>
    <row r="216" spans="5:6" x14ac:dyDescent="0.3">
      <c r="E216">
        <v>1</v>
      </c>
      <c r="F216">
        <v>9</v>
      </c>
    </row>
    <row r="217" spans="5:6" x14ac:dyDescent="0.3">
      <c r="E217">
        <v>3</v>
      </c>
      <c r="F217">
        <v>2</v>
      </c>
    </row>
    <row r="218" spans="5:6" x14ac:dyDescent="0.3">
      <c r="E218">
        <v>8</v>
      </c>
      <c r="F218">
        <v>10</v>
      </c>
    </row>
    <row r="219" spans="5:6" x14ac:dyDescent="0.3">
      <c r="E219">
        <v>2</v>
      </c>
      <c r="F219">
        <v>5</v>
      </c>
    </row>
    <row r="220" spans="5:6" x14ac:dyDescent="0.3">
      <c r="E220">
        <v>8</v>
      </c>
      <c r="F220">
        <v>13</v>
      </c>
    </row>
    <row r="221" spans="5:6" x14ac:dyDescent="0.3">
      <c r="E221">
        <v>5</v>
      </c>
      <c r="F221">
        <v>15</v>
      </c>
    </row>
    <row r="222" spans="5:6" x14ac:dyDescent="0.3">
      <c r="E222">
        <v>7</v>
      </c>
      <c r="F222">
        <v>11</v>
      </c>
    </row>
    <row r="223" spans="5:6" x14ac:dyDescent="0.3">
      <c r="E223">
        <v>1</v>
      </c>
      <c r="F223">
        <v>15</v>
      </c>
    </row>
    <row r="224" spans="5:6" x14ac:dyDescent="0.3">
      <c r="E224">
        <v>7</v>
      </c>
      <c r="F224">
        <v>3</v>
      </c>
    </row>
    <row r="225" spans="5:6" x14ac:dyDescent="0.3">
      <c r="E225">
        <v>7</v>
      </c>
      <c r="F225">
        <v>9</v>
      </c>
    </row>
    <row r="226" spans="5:6" x14ac:dyDescent="0.3">
      <c r="E226">
        <v>5</v>
      </c>
      <c r="F226">
        <v>10</v>
      </c>
    </row>
    <row r="227" spans="5:6" x14ac:dyDescent="0.3">
      <c r="E227">
        <v>5</v>
      </c>
      <c r="F227">
        <v>7</v>
      </c>
    </row>
    <row r="228" spans="5:6" x14ac:dyDescent="0.3">
      <c r="E228">
        <v>1</v>
      </c>
      <c r="F228">
        <v>6</v>
      </c>
    </row>
    <row r="229" spans="5:6" x14ac:dyDescent="0.3">
      <c r="E229">
        <v>8</v>
      </c>
      <c r="F229">
        <v>14</v>
      </c>
    </row>
    <row r="230" spans="5:6" x14ac:dyDescent="0.3">
      <c r="E230">
        <v>8</v>
      </c>
      <c r="F230">
        <v>8</v>
      </c>
    </row>
    <row r="231" spans="5:6" x14ac:dyDescent="0.3">
      <c r="E231">
        <v>5</v>
      </c>
      <c r="F231">
        <v>4</v>
      </c>
    </row>
    <row r="232" spans="5:6" x14ac:dyDescent="0.3">
      <c r="E232">
        <v>7</v>
      </c>
      <c r="F232">
        <v>11</v>
      </c>
    </row>
    <row r="233" spans="5:6" x14ac:dyDescent="0.3">
      <c r="E233">
        <v>5</v>
      </c>
      <c r="F233">
        <v>9</v>
      </c>
    </row>
    <row r="234" spans="5:6" x14ac:dyDescent="0.3">
      <c r="E234">
        <v>2</v>
      </c>
      <c r="F234">
        <v>4</v>
      </c>
    </row>
    <row r="235" spans="5:6" x14ac:dyDescent="0.3">
      <c r="E235">
        <v>9</v>
      </c>
      <c r="F235">
        <v>7</v>
      </c>
    </row>
    <row r="236" spans="5:6" x14ac:dyDescent="0.3">
      <c r="E236">
        <v>11</v>
      </c>
      <c r="F236">
        <v>7</v>
      </c>
    </row>
    <row r="237" spans="5:6" x14ac:dyDescent="0.3">
      <c r="E237">
        <v>3</v>
      </c>
      <c r="F237">
        <v>7</v>
      </c>
    </row>
    <row r="238" spans="5:6" x14ac:dyDescent="0.3">
      <c r="E238">
        <v>2</v>
      </c>
      <c r="F238">
        <v>15</v>
      </c>
    </row>
    <row r="239" spans="5:6" x14ac:dyDescent="0.3">
      <c r="E239">
        <v>1</v>
      </c>
      <c r="F239">
        <v>6</v>
      </c>
    </row>
    <row r="240" spans="5:6" x14ac:dyDescent="0.3">
      <c r="E240">
        <v>3</v>
      </c>
      <c r="F240">
        <v>2</v>
      </c>
    </row>
    <row r="241" spans="5:6" x14ac:dyDescent="0.3">
      <c r="E241">
        <v>5</v>
      </c>
      <c r="F241">
        <v>10</v>
      </c>
    </row>
    <row r="242" spans="5:6" x14ac:dyDescent="0.3">
      <c r="E242">
        <v>9</v>
      </c>
      <c r="F242">
        <v>4</v>
      </c>
    </row>
    <row r="243" spans="5:6" x14ac:dyDescent="0.3">
      <c r="E243">
        <v>7</v>
      </c>
      <c r="F243">
        <v>11</v>
      </c>
    </row>
    <row r="244" spans="5:6" x14ac:dyDescent="0.3">
      <c r="E244">
        <v>7</v>
      </c>
      <c r="F244">
        <v>11</v>
      </c>
    </row>
    <row r="245" spans="5:6" x14ac:dyDescent="0.3">
      <c r="E245">
        <v>10</v>
      </c>
      <c r="F245">
        <v>6</v>
      </c>
    </row>
    <row r="246" spans="5:6" x14ac:dyDescent="0.3">
      <c r="E246">
        <v>1</v>
      </c>
      <c r="F246">
        <v>8</v>
      </c>
    </row>
    <row r="247" spans="5:6" x14ac:dyDescent="0.3">
      <c r="E247">
        <v>2</v>
      </c>
      <c r="F247">
        <v>13</v>
      </c>
    </row>
    <row r="248" spans="5:6" x14ac:dyDescent="0.3">
      <c r="E248">
        <v>9</v>
      </c>
      <c r="F248">
        <v>2</v>
      </c>
    </row>
    <row r="249" spans="5:6" x14ac:dyDescent="0.3">
      <c r="E249">
        <v>7</v>
      </c>
      <c r="F249">
        <v>13</v>
      </c>
    </row>
    <row r="250" spans="5:6" x14ac:dyDescent="0.3">
      <c r="E250">
        <v>1</v>
      </c>
      <c r="F250">
        <v>13</v>
      </c>
    </row>
    <row r="251" spans="5:6" x14ac:dyDescent="0.3">
      <c r="E251">
        <v>8</v>
      </c>
      <c r="F251">
        <v>7</v>
      </c>
    </row>
    <row r="252" spans="5:6" x14ac:dyDescent="0.3">
      <c r="E252">
        <v>10</v>
      </c>
      <c r="F252">
        <v>10</v>
      </c>
    </row>
    <row r="253" spans="5:6" x14ac:dyDescent="0.3">
      <c r="E253">
        <v>3</v>
      </c>
      <c r="F253">
        <v>9</v>
      </c>
    </row>
    <row r="254" spans="5:6" x14ac:dyDescent="0.3">
      <c r="E254">
        <v>7</v>
      </c>
      <c r="F254">
        <v>3</v>
      </c>
    </row>
    <row r="255" spans="5:6" x14ac:dyDescent="0.3">
      <c r="E255">
        <v>10</v>
      </c>
      <c r="F255">
        <v>14</v>
      </c>
    </row>
    <row r="256" spans="5:6" x14ac:dyDescent="0.3">
      <c r="E256">
        <v>8</v>
      </c>
      <c r="F256">
        <v>10</v>
      </c>
    </row>
    <row r="257" spans="5:6" x14ac:dyDescent="0.3">
      <c r="E257">
        <v>10</v>
      </c>
      <c r="F257">
        <v>13</v>
      </c>
    </row>
    <row r="258" spans="5:6" x14ac:dyDescent="0.3">
      <c r="E258">
        <v>5</v>
      </c>
      <c r="F258">
        <v>5</v>
      </c>
    </row>
    <row r="259" spans="5:6" x14ac:dyDescent="0.3">
      <c r="E259">
        <v>9</v>
      </c>
      <c r="F259">
        <v>6</v>
      </c>
    </row>
    <row r="260" spans="5:6" x14ac:dyDescent="0.3">
      <c r="E260">
        <v>1</v>
      </c>
      <c r="F260">
        <v>6</v>
      </c>
    </row>
    <row r="261" spans="5:6" x14ac:dyDescent="0.3">
      <c r="E261">
        <v>8</v>
      </c>
      <c r="F261">
        <v>6</v>
      </c>
    </row>
    <row r="262" spans="5:6" x14ac:dyDescent="0.3">
      <c r="E262">
        <v>9</v>
      </c>
      <c r="F262">
        <v>6</v>
      </c>
    </row>
    <row r="263" spans="5:6" x14ac:dyDescent="0.3">
      <c r="E263">
        <v>9</v>
      </c>
      <c r="F263">
        <v>7</v>
      </c>
    </row>
    <row r="264" spans="5:6" x14ac:dyDescent="0.3">
      <c r="E264">
        <v>2</v>
      </c>
      <c r="F264">
        <v>6</v>
      </c>
    </row>
    <row r="265" spans="5:6" x14ac:dyDescent="0.3">
      <c r="E265">
        <v>10</v>
      </c>
      <c r="F265">
        <v>5</v>
      </c>
    </row>
    <row r="266" spans="5:6" x14ac:dyDescent="0.3">
      <c r="E266">
        <v>7</v>
      </c>
      <c r="F266">
        <v>6</v>
      </c>
    </row>
    <row r="267" spans="5:6" x14ac:dyDescent="0.3">
      <c r="E267">
        <v>7</v>
      </c>
      <c r="F267">
        <v>4</v>
      </c>
    </row>
    <row r="268" spans="5:6" x14ac:dyDescent="0.3">
      <c r="E268">
        <v>1</v>
      </c>
      <c r="F268">
        <v>2</v>
      </c>
    </row>
    <row r="269" spans="5:6" x14ac:dyDescent="0.3">
      <c r="E269">
        <v>10</v>
      </c>
      <c r="F269">
        <v>6</v>
      </c>
    </row>
    <row r="270" spans="5:6" x14ac:dyDescent="0.3">
      <c r="E270">
        <v>3</v>
      </c>
      <c r="F270">
        <v>4</v>
      </c>
    </row>
    <row r="271" spans="5:6" x14ac:dyDescent="0.3">
      <c r="E271">
        <v>6</v>
      </c>
      <c r="F271">
        <v>12</v>
      </c>
    </row>
    <row r="272" spans="5:6" x14ac:dyDescent="0.3">
      <c r="E272">
        <v>1</v>
      </c>
      <c r="F272">
        <v>10</v>
      </c>
    </row>
    <row r="273" spans="5:6" x14ac:dyDescent="0.3">
      <c r="E273">
        <v>6</v>
      </c>
      <c r="F273">
        <v>9</v>
      </c>
    </row>
    <row r="274" spans="5:6" x14ac:dyDescent="0.3">
      <c r="E274">
        <v>4</v>
      </c>
      <c r="F274">
        <v>7</v>
      </c>
    </row>
    <row r="275" spans="5:6" x14ac:dyDescent="0.3">
      <c r="E275">
        <v>6</v>
      </c>
      <c r="F275">
        <v>2</v>
      </c>
    </row>
    <row r="276" spans="5:6" x14ac:dyDescent="0.3">
      <c r="E276">
        <v>4</v>
      </c>
      <c r="F276">
        <v>4</v>
      </c>
    </row>
    <row r="277" spans="5:6" x14ac:dyDescent="0.3">
      <c r="E277">
        <v>6</v>
      </c>
      <c r="F277">
        <v>9</v>
      </c>
    </row>
    <row r="278" spans="5:6" x14ac:dyDescent="0.3">
      <c r="E278">
        <v>6</v>
      </c>
      <c r="F278">
        <v>6</v>
      </c>
    </row>
    <row r="279" spans="5:6" x14ac:dyDescent="0.3">
      <c r="E279">
        <v>4</v>
      </c>
      <c r="F279">
        <v>3</v>
      </c>
    </row>
    <row r="280" spans="5:6" x14ac:dyDescent="0.3">
      <c r="E280">
        <v>7</v>
      </c>
      <c r="F280">
        <v>7</v>
      </c>
    </row>
    <row r="281" spans="5:6" x14ac:dyDescent="0.3">
      <c r="E281">
        <v>10</v>
      </c>
      <c r="F281">
        <v>6</v>
      </c>
    </row>
    <row r="282" spans="5:6" x14ac:dyDescent="0.3">
      <c r="E282">
        <v>5</v>
      </c>
      <c r="F282">
        <v>3</v>
      </c>
    </row>
    <row r="283" spans="5:6" x14ac:dyDescent="0.3">
      <c r="E283">
        <v>3</v>
      </c>
      <c r="F283">
        <v>9</v>
      </c>
    </row>
    <row r="284" spans="5:6" x14ac:dyDescent="0.3">
      <c r="E284">
        <v>9</v>
      </c>
      <c r="F284">
        <v>5</v>
      </c>
    </row>
    <row r="285" spans="5:6" x14ac:dyDescent="0.3">
      <c r="E285">
        <v>3</v>
      </c>
      <c r="F285">
        <v>11</v>
      </c>
    </row>
    <row r="286" spans="5:6" x14ac:dyDescent="0.3">
      <c r="E286">
        <v>4</v>
      </c>
      <c r="F286">
        <v>6</v>
      </c>
    </row>
    <row r="287" spans="5:6" x14ac:dyDescent="0.3">
      <c r="E287">
        <v>9</v>
      </c>
      <c r="F287">
        <v>2</v>
      </c>
    </row>
    <row r="288" spans="5:6" x14ac:dyDescent="0.3">
      <c r="E288">
        <v>7</v>
      </c>
      <c r="F288">
        <v>15</v>
      </c>
    </row>
    <row r="289" spans="5:6" x14ac:dyDescent="0.3">
      <c r="E289">
        <v>3</v>
      </c>
      <c r="F289">
        <v>4</v>
      </c>
    </row>
    <row r="290" spans="5:6" x14ac:dyDescent="0.3">
      <c r="E290">
        <v>2</v>
      </c>
      <c r="F290">
        <v>12</v>
      </c>
    </row>
    <row r="291" spans="5:6" x14ac:dyDescent="0.3">
      <c r="E291">
        <v>2</v>
      </c>
      <c r="F291">
        <v>8</v>
      </c>
    </row>
    <row r="292" spans="5:6" x14ac:dyDescent="0.3">
      <c r="E292">
        <v>6</v>
      </c>
      <c r="F292">
        <v>6</v>
      </c>
    </row>
    <row r="293" spans="5:6" x14ac:dyDescent="0.3">
      <c r="E293">
        <v>10</v>
      </c>
      <c r="F293">
        <v>15</v>
      </c>
    </row>
    <row r="294" spans="5:6" x14ac:dyDescent="0.3">
      <c r="E294">
        <v>10</v>
      </c>
      <c r="F294">
        <v>14</v>
      </c>
    </row>
    <row r="295" spans="5:6" x14ac:dyDescent="0.3">
      <c r="E295">
        <v>6</v>
      </c>
      <c r="F295">
        <v>3</v>
      </c>
    </row>
    <row r="296" spans="5:6" x14ac:dyDescent="0.3">
      <c r="E296">
        <v>4</v>
      </c>
      <c r="F296">
        <v>7</v>
      </c>
    </row>
    <row r="297" spans="5:6" x14ac:dyDescent="0.3">
      <c r="E297">
        <v>7</v>
      </c>
      <c r="F297">
        <v>14</v>
      </c>
    </row>
    <row r="298" spans="5:6" x14ac:dyDescent="0.3">
      <c r="E298">
        <v>4</v>
      </c>
      <c r="F298">
        <v>9</v>
      </c>
    </row>
    <row r="299" spans="5:6" x14ac:dyDescent="0.3">
      <c r="E299">
        <v>1</v>
      </c>
      <c r="F299">
        <v>4</v>
      </c>
    </row>
    <row r="300" spans="5:6" x14ac:dyDescent="0.3">
      <c r="E300">
        <v>9</v>
      </c>
      <c r="F300">
        <v>7</v>
      </c>
    </row>
    <row r="301" spans="5:6" x14ac:dyDescent="0.3">
      <c r="E301">
        <v>3</v>
      </c>
      <c r="F301">
        <v>14</v>
      </c>
    </row>
    <row r="302" spans="5:6" x14ac:dyDescent="0.3">
      <c r="E302">
        <v>6</v>
      </c>
      <c r="F302">
        <v>10</v>
      </c>
    </row>
    <row r="303" spans="5:6" x14ac:dyDescent="0.3">
      <c r="E303">
        <v>3</v>
      </c>
      <c r="F303">
        <v>6</v>
      </c>
    </row>
    <row r="304" spans="5:6" x14ac:dyDescent="0.3">
      <c r="E304">
        <v>4</v>
      </c>
      <c r="F304">
        <v>4</v>
      </c>
    </row>
    <row r="305" spans="5:6" x14ac:dyDescent="0.3">
      <c r="E305">
        <v>6</v>
      </c>
      <c r="F305">
        <v>13</v>
      </c>
    </row>
    <row r="306" spans="5:6" x14ac:dyDescent="0.3">
      <c r="E306">
        <v>1</v>
      </c>
      <c r="F306">
        <v>6</v>
      </c>
    </row>
    <row r="307" spans="5:6" x14ac:dyDescent="0.3">
      <c r="E307">
        <v>1</v>
      </c>
      <c r="F307">
        <v>6</v>
      </c>
    </row>
    <row r="308" spans="5:6" x14ac:dyDescent="0.3">
      <c r="E308">
        <v>3</v>
      </c>
      <c r="F308">
        <v>4</v>
      </c>
    </row>
    <row r="309" spans="5:6" x14ac:dyDescent="0.3">
      <c r="E309">
        <v>8</v>
      </c>
      <c r="F309">
        <v>11</v>
      </c>
    </row>
    <row r="310" spans="5:6" x14ac:dyDescent="0.3">
      <c r="E310">
        <v>1</v>
      </c>
      <c r="F310">
        <v>8</v>
      </c>
    </row>
    <row r="311" spans="5:6" x14ac:dyDescent="0.3">
      <c r="E311">
        <v>8</v>
      </c>
      <c r="F311">
        <v>7</v>
      </c>
    </row>
    <row r="312" spans="5:6" x14ac:dyDescent="0.3">
      <c r="E312">
        <v>8</v>
      </c>
      <c r="F312">
        <v>12</v>
      </c>
    </row>
    <row r="313" spans="5:6" x14ac:dyDescent="0.3">
      <c r="E313">
        <v>6</v>
      </c>
      <c r="F313">
        <v>8</v>
      </c>
    </row>
    <row r="314" spans="5:6" x14ac:dyDescent="0.3">
      <c r="E314">
        <v>10</v>
      </c>
    </row>
    <row r="315" spans="5:6" x14ac:dyDescent="0.3">
      <c r="E315">
        <v>2</v>
      </c>
    </row>
    <row r="316" spans="5:6" x14ac:dyDescent="0.3">
      <c r="E316">
        <v>6</v>
      </c>
    </row>
    <row r="317" spans="5:6" x14ac:dyDescent="0.3">
      <c r="E317">
        <v>10</v>
      </c>
    </row>
    <row r="318" spans="5:6" x14ac:dyDescent="0.3">
      <c r="E318">
        <v>1</v>
      </c>
    </row>
    <row r="319" spans="5:6" x14ac:dyDescent="0.3">
      <c r="E319">
        <v>3</v>
      </c>
    </row>
    <row r="320" spans="5:6" x14ac:dyDescent="0.3">
      <c r="E320">
        <v>1</v>
      </c>
    </row>
    <row r="321" spans="5:5" x14ac:dyDescent="0.3">
      <c r="E321">
        <v>1</v>
      </c>
    </row>
    <row r="322" spans="5:5" x14ac:dyDescent="0.3">
      <c r="E322">
        <v>2</v>
      </c>
    </row>
    <row r="323" spans="5:5" x14ac:dyDescent="0.3">
      <c r="E323">
        <v>1</v>
      </c>
    </row>
    <row r="324" spans="5:5" x14ac:dyDescent="0.3">
      <c r="E324">
        <v>8</v>
      </c>
    </row>
    <row r="325" spans="5:5" x14ac:dyDescent="0.3">
      <c r="E325">
        <v>10</v>
      </c>
    </row>
    <row r="326" spans="5:5" x14ac:dyDescent="0.3">
      <c r="E326">
        <v>10</v>
      </c>
    </row>
    <row r="327" spans="5:5" x14ac:dyDescent="0.3">
      <c r="E327">
        <v>2</v>
      </c>
    </row>
    <row r="328" spans="5:5" x14ac:dyDescent="0.3">
      <c r="E328">
        <v>3</v>
      </c>
    </row>
    <row r="329" spans="5:5" x14ac:dyDescent="0.3">
      <c r="E329">
        <v>7</v>
      </c>
    </row>
    <row r="330" spans="5:5" x14ac:dyDescent="0.3">
      <c r="E330">
        <v>6</v>
      </c>
    </row>
    <row r="331" spans="5:5" x14ac:dyDescent="0.3">
      <c r="E331">
        <v>4</v>
      </c>
    </row>
    <row r="332" spans="5:5" x14ac:dyDescent="0.3">
      <c r="E332">
        <v>5</v>
      </c>
    </row>
  </sheetData>
  <mergeCells count="1">
    <mergeCell ref="E7:Q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Retail Store Sales</vt:lpstr>
      <vt:lpstr>Cost Per Unit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Vinod singh</cp:lastModifiedBy>
  <dcterms:created xsi:type="dcterms:W3CDTF">2025-12-23T16:55:45Z</dcterms:created>
  <dcterms:modified xsi:type="dcterms:W3CDTF">2025-12-24T06:26:02Z</dcterms:modified>
</cp:coreProperties>
</file>